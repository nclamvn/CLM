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Phiếu tra" sheetId="2" state="visible" r:id="rId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CaoLocMatch</author>
  </authors>
  <commentList>
    <comment ref="H1" authorId="0">
      <text>
        <r>
          <rPr>
            <sz val="10"/>
            <rFont val="Arial"/>
            <family val="2"/>
          </rPr>
          <t xml:space="preserve">Chép nguyên văn từ cổng, giữ cả dạng 10 số-3 số nếu có.</t>
        </r>
      </text>
    </comment>
  </commentList>
</comments>
</file>

<file path=xl/sharedStrings.xml><?xml version="1.0" encoding="utf-8"?>
<sst xmlns="http://schemas.openxmlformats.org/spreadsheetml/2006/main" count="346" uniqueCount="312">
  <si>
    <t xml:space="preserve">Phiếu tra cổng · định danh pháp nhân</t>
  </si>
  <si>
    <t xml:space="preserve">Mục đích: xác nhận mã số doanh nghiệp của từng đơn vị trên Cổng thông tin quốc gia về đăng ký doanh nghiệp. Chỉ mã xác nhận ở đây mới tính là đã định danh.</t>
  </si>
  <si>
    <t xml:space="preserve">Cổng: https://dangkykinhdoanh.gov.vn/vn/Pages/Trangchu.aspx (ô "Tìm doanh nghiệp"; cổng có captcha, người tra tự nhập).</t>
  </si>
  <si>
    <t xml:space="preserve">Cách làm cho mỗi dòng ở tab "Phiếu tra":</t>
  </si>
  <si>
    <t xml:space="preserve">1. Có mã tự khai (cột D): tìm theo mã. Chưa có: tìm theo tên pháp nhân gợi ý (cột C), thử cả các dạng ghi ở cột G.</t>
  </si>
  <si>
    <t xml:space="preserve">2. Mở trang thông tin doanh nghiệp, In hoặc Lưu thành PDF, đặt tên file theo cột N, lưu vào thư mục CNCLData/lam_giau/dot_02/tra_cong/.</t>
  </si>
  <si>
    <t xml:space="preserve">3. Chép NGUYÊN VĂN vào các ô VÀNG: mã số (H), tên doanh nghiệp (I), tình trạng (J), người tra (L), ngày tra (M).</t>
  </si>
  <si>
    <t xml:space="preserve">4. Cột K tự so mã cổng với mã tự khai: KHỚP, LỆCH, hoặc CHỈ CÓ MÃ CỔNG. Dòng LỆCH ghi lý do vào cột O.</t>
  </si>
  <si>
    <t xml:space="preserve">5. Không tìm thấy trên cổng: để trống H, I; ghi "không tìm thấy" vào J và nêu đã tìm những gì ở cột O.</t>
  </si>
  <si>
    <t xml:space="preserve">Không lấy mã từ masothue, thuvienphapluat hay trang tổng hợp nào. Viện, trường công thường không có trên cổng đăng ký doanh nghiệp: ghi "không áp dụng" vào J.</t>
  </si>
  <si>
    <t xml:space="preserve">Chỉ sửa ô VÀNG. Dòng 3 của tab "Phiếu tra" là dòng MẪU (in nghiêng), không phải dữ liệu thật.</t>
  </si>
  <si>
    <t xml:space="preserve">Tra xong: lưu file này, báo người vận hành chạy nap_tra_cong.py. Máy chỉ nạp dòng có PDF mang dấu cổng, đúng mã và đúng tên đã ghi.</t>
  </si>
  <si>
    <t xml:space="preserve">STT</t>
  </si>
  <si>
    <t xml:space="preserve">Đơn vị (registry)</t>
  </si>
  <si>
    <t xml:space="preserve">Tên pháp nhân gợi ý (tự khai)</t>
  </si>
  <si>
    <t xml:space="preserve">Mã tự khai</t>
  </si>
  <si>
    <t xml:space="preserve">Website chính chủ</t>
  </si>
  <si>
    <t xml:space="preserve">Loại hình</t>
  </si>
  <si>
    <t xml:space="preserve">Gợi ý cho người tra</t>
  </si>
  <si>
    <t xml:space="preserve">Mã số trên cổng</t>
  </si>
  <si>
    <t xml:space="preserve">Tên doanh nghiệp trên cổng</t>
  </si>
  <si>
    <t xml:space="preserve">Tình trạng</t>
  </si>
  <si>
    <t xml:space="preserve">Đối chiếu</t>
  </si>
  <si>
    <t xml:space="preserve">Người tra</t>
  </si>
  <si>
    <t xml:space="preserve">Ngày tra (dd/mm/yyyy)</t>
  </si>
  <si>
    <t xml:space="preserve">Tên file PDF</t>
  </si>
  <si>
    <t xml:space="preserve">Ghi chú người tra</t>
  </si>
  <si>
    <t xml:space="preserve">Cột H đến J, L đến O là ô nhập (vàng). Cột K là công thức, không sửa.</t>
  </si>
  <si>
    <t xml:space="preserve">0</t>
  </si>
  <si>
    <t xml:space="preserve">(dòng mẫu) Công ty Ví dụ</t>
  </si>
  <si>
    <t xml:space="preserve">Công ty Cổ phần Ví dụ</t>
  </si>
  <si>
    <t xml:space="preserve">0101234567</t>
  </si>
  <si>
    <t xml:space="preserve">vidu.vn</t>
  </si>
  <si>
    <t xml:space="preserve">DN</t>
  </si>
  <si>
    <t xml:space="preserve">Tìm theo mã tự khai.</t>
  </si>
  <si>
    <t xml:space="preserve">CÔNG TY CỔ PHẦN VÍ DỤ</t>
  </si>
  <si>
    <t xml:space="preserve">Đang hoạt động</t>
  </si>
  <si>
    <t xml:space="preserve">Nguyễn Văn A</t>
  </si>
  <si>
    <t xml:space="preserve">02/10/2026</t>
  </si>
  <si>
    <t xml:space="preserve">00_cong_ty_vi_du.pdf</t>
  </si>
  <si>
    <t xml:space="preserve">Bệnh viện Trung ương Quân đội 108</t>
  </si>
  <si>
    <t xml:space="preserve">benhvien108.vn</t>
  </si>
  <si>
    <t xml:space="preserve">vien</t>
  </si>
  <si>
    <t xml:space="preserve">Bệnh viện quân đội trực thuộc Bộ Quốc phòng (trang giới thiệu nêu Quân uỷ Trung ương, Bộ Quốc phòng đầu tư); website còn dùng tên Viện nghiên cứu Khoa học Y dược Lâm sàng 108 cho mô hình Viện - Trường, người tra cổng cần biết hai tên này cùng một đơn vị.</t>
  </si>
  <si>
    <t xml:space="preserve">01_benh_vien_trung_uong_quan_doi_108.pdf</t>
  </si>
  <si>
    <t xml:space="preserve">CMC Telecom</t>
  </si>
  <si>
    <t xml:space="preserve">Công ty Cổ phần Hạ tầng Viễn thông CMC</t>
  </si>
  <si>
    <t xml:space="preserve">0102900049</t>
  </si>
  <si>
    <t xml:space="preserve">cmctelecom.vn</t>
  </si>
  <si>
    <t xml:space="preserve">Tìm theo mã tự khai. Mã của công ty con CMC Telecom, không phải mã Tập đoàn CMC. Cấp lần đầu 05/09/2008 tại Hà Nội theo trang.</t>
  </si>
  <si>
    <t xml:space="preserve">02_cong_ty_co_phan_ha_tang_vien_thong_cmc.pdf</t>
  </si>
  <si>
    <t xml:space="preserve">Công ty 1Matrix</t>
  </si>
  <si>
    <t xml:space="preserve">CTCP 1Matrix</t>
  </si>
  <si>
    <t xml:space="preserve">1matrix.com</t>
  </si>
  <si>
    <t xml:space="preserve">Website chỉ ghi dạng viết tắt CTCP (Công ty cổ phần) 1Matrix, không có mã số. Trang vbsn.vn của cùng đơn vị đăng tin 28/08/2026 1Matrix đổi tên thành VMatrix, nên tên trên cổng có thể đã đổi; người tra cần thử cả hai tên.</t>
  </si>
  <si>
    <t xml:space="preserve">03_ctcp_1matrix.pdf</t>
  </si>
  <si>
    <t xml:space="preserve">Công ty An ninh mạng Viettel</t>
  </si>
  <si>
    <t xml:space="preserve">Chưa có tên pháp nhân tự khai. viettelcybersecurity.com, viettelsecurity.com và services.viettelcybersecurity.com trả trang rỗng (JavaScript), cả trang con lien-he. Trang con lab và blog chỉ ghi 'Công ty An ninh mạng Viettel' và 'thành viên Viettel Group', không ghi tên pháp nhân đầy đủ. Đơn vị có thể là chi nhánh của Tập đoàn hoặc công ty TNHH riêng; không suy đoán, để người tra cổng xác định.</t>
  </si>
  <si>
    <t xml:space="preserve">04_cong_ty_an_ninh_mang_viettel.pdf</t>
  </si>
  <si>
    <t xml:space="preserve">Công ty cổ phần AVAC Việt Nam</t>
  </si>
  <si>
    <t xml:space="preserve">CÔNG TY CỔ PHẦN AVAC VIỆT NAM</t>
  </si>
  <si>
    <t xml:space="preserve">avac.com.vn</t>
  </si>
  <si>
    <t xml:space="preserve">Website không công bố mã số nên chỉ đề xuất tên; mã cần người tra cổng tìm theo tên này.</t>
  </si>
  <si>
    <t xml:space="preserve">05_cong_ty_co_phan_avac_viet_nam.pdf</t>
  </si>
  <si>
    <t xml:space="preserve">Công ty Cổ phần Công nghệ &amp; Truyền thông Việt Nam (VNTT)</t>
  </si>
  <si>
    <t xml:space="preserve">CÔNG TY CỔ PHẦN CÔNG NGHỆ &amp; TRUYỀN THÔNG VIỆT NAM</t>
  </si>
  <si>
    <t xml:space="preserve">3700861497</t>
  </si>
  <si>
    <t xml:space="preserve">vntt.com.vn</t>
  </si>
  <si>
    <t xml:space="preserve">Tìm theo mã tự khai. Mã do Sở KHĐT Bình Dương cấp lần đầu 02/01/2008, thay đổi lần 11 ngày 04/08/2025 theo báo cáo. Không phải mã VNPT hay Becamex.</t>
  </si>
  <si>
    <t xml:space="preserve">06_cong_ty_co_phan_cong_nghe_truyen_thong_v.pdf</t>
  </si>
  <si>
    <t xml:space="preserve">Công ty cổ phần Công nghệ an ninh mạng quốc gia Việt Nam (NCS)</t>
  </si>
  <si>
    <t xml:space="preserve">CÔNG TY CỔ PHẦN CÔNG NGHỆ AN NINH MẠNG QUỐC GIA VIỆT NAM</t>
  </si>
  <si>
    <t xml:space="preserve">ncsgroup.vn</t>
  </si>
  <si>
    <t xml:space="preserve">Trang chủ có chỗ viết thiếu chữ 'Công nghệ' (Công ty Cổ phần An ninh mạng Quốc gia Việt Nam), người tra cổng nên tìm cả hai dạng. Website không công bố mã số.</t>
  </si>
  <si>
    <t xml:space="preserve">07_cong_ty_co_phan_cong_nghe_an_ninh_mang_q.pdf</t>
  </si>
  <si>
    <t xml:space="preserve">Công ty Cổ phần Giải pháp Năng lượng VinES</t>
  </si>
  <si>
    <t xml:space="preserve">VinES Energy Solutions JSC</t>
  </si>
  <si>
    <t xml:space="preserve">vines.net.vn</t>
  </si>
  <si>
    <t xml:space="preserve">Website chỉ ghi tên tiếng Anh, không thấy tên tiếng Việt đầy đủ và mã số ở trang đọc được (trang chủ, liên hệ, bản tiếng Việt trả về rỗng). VinES là công ty con của Vingroup, pháp nhân riêng; không dùng mã của Vingroup hay VinFast.</t>
  </si>
  <si>
    <t xml:space="preserve">08_vines_energy_solutions_jsc.pdf</t>
  </si>
  <si>
    <t xml:space="preserve">Công ty cổ phần Health Care Center</t>
  </si>
  <si>
    <t xml:space="preserve">Chưa có tên pháp nhân tự khai. Website healthcarecenter.vn (Health Care Center, trụ sở QTSC) chỉ ghi '© 2026 - All rights reserved by Health Care Center Jsc.' bằng tiếng Anh, không có tên pháp nhân tiếng Việt đầy đủ. Chính sách bảo mật nói ứng dụng HCC APP do CÔNG TY TNHH MTV KHAI THÁC DỮ LIỆU SỐ (BDATA) phát triển, là pháp nhân khác. Chưa chắc site này đúng là đơn vị trình diễn robot khám bệnh tại Make in Viet Nam 2025.</t>
  </si>
  <si>
    <t xml:space="preserve">09_cong_ty_co_phan_health_care_center.pdf</t>
  </si>
  <si>
    <t xml:space="preserve">Công ty cổ phần thuốc thú y Trung ương NAVETCO</t>
  </si>
  <si>
    <t xml:space="preserve">CÔNG TY CỔ PHẦN THUỐC THÚ Y TRUNG ƯƠNG NAVETCO</t>
  </si>
  <si>
    <t xml:space="preserve">navetco.com.vn</t>
  </si>
  <si>
    <t xml:space="preserve">Website không ghi mã số dạng chữ (file công bố thông tin là bản scan); chỉ đề xuất tên. Công ty có chi nhánh Hà Nội, Miền Tây: không dùng mã chi nhánh.</t>
  </si>
  <si>
    <t xml:space="preserve">10_cong_ty_co_phan_thuoc_thu_y_trung_uong_n.pdf</t>
  </si>
  <si>
    <t xml:space="preserve">Công ty cổ phần VinMotion</t>
  </si>
  <si>
    <t xml:space="preserve">CÔNG TY CỔ PHẦN NGHIÊN CỨU PHÁT TRIỂN VÀ ỨNG DỤNG NGƯỜI MÁY ĐA NĂNG VINMOTION</t>
  </si>
  <si>
    <t xml:space="preserve">vinmotion.net</t>
  </si>
  <si>
    <t xml:space="preserve">Tên pháp nhân đầy đủ khác hẳn nhãn registry (Công ty cổ phần VinMotion); người tra cổng nên tìm theo tên dài này. Website không công bố mã số. Pháp nhân riêng trong hệ sinh thái Vingroup.</t>
  </si>
  <si>
    <t xml:space="preserve">11_cong_ty_co_phan_nghien_cuu_phat_trien_va.pdf</t>
  </si>
  <si>
    <t xml:space="preserve">Công ty cổ phần Xe lửa Dĩ An</t>
  </si>
  <si>
    <t xml:space="preserve">CÔNG TY CỔ PHẦN XE LỬA DĨ AN</t>
  </si>
  <si>
    <t xml:space="preserve">3700146539</t>
  </si>
  <si>
    <t xml:space="preserve">xeluadian.com.vn</t>
  </si>
  <si>
    <t xml:space="preserve">Tìm theo mã tự khai. Chữ 'nghiêp' sai dấu là chữ của nguồn. Ngày 'đăng ký lần đầu 07/7/2011' là ngày đăng ký công ty cổ phần, người tra cổng nên đối chiếu cả ngày này.</t>
  </si>
  <si>
    <t xml:space="preserve">12_cong_ty_co_phan_xe_lua_di_an.pdf</t>
  </si>
  <si>
    <t xml:space="preserve">Công ty Cổ phần Y Sinh Ngọc Bảo</t>
  </si>
  <si>
    <t xml:space="preserve">ngocbaobiomed.com</t>
  </si>
  <si>
    <t xml:space="preserve">Công ty là đơn vị chủ quản của Viện Nghiên cứu và Phát triển Vật liệu y sinh Ngọc Bảo (tổ chức KH&amp;CN, giấy phép B-23/2016 ĐK-KH&amp;CN), viện không phải là pháp nhân này. Website không ghi mã số.</t>
  </si>
  <si>
    <t xml:space="preserve">13_cong_ty_co_phan_y_sinh_ngoc_bao.pdf</t>
  </si>
  <si>
    <t xml:space="preserve">Công ty CP Việt Nam Food (VNF)</t>
  </si>
  <si>
    <t xml:space="preserve">Công ty cổ phần Việt Nam Food</t>
  </si>
  <si>
    <t xml:space="preserve">vnfoods.vn</t>
  </si>
  <si>
    <t xml:space="preserve">Tên lấy từ tiêu đề bài tin tự đăng, không phải trang pháp lý; RetriV là startup spin-off, không phải pháp nhân này. Website không ghi mã số.</t>
  </si>
  <si>
    <t xml:space="preserve">14_cong_ty_co_phan_viet_nam_food.pdf</t>
  </si>
  <si>
    <t xml:space="preserve">Công ty TNHH Công nghệ Sinh học xanh Nhật Lan</t>
  </si>
  <si>
    <t xml:space="preserve">CÔNG TY TNHH CÔNG NGHỆ SINH HỌC XANH NHẬT LAN</t>
  </si>
  <si>
    <t xml:space="preserve">dongtrunghathaonhatlan.com.vn</t>
  </si>
  <si>
    <t xml:space="preserve">Site là cửa hàng đông trùng hạ thảo, không nhắc nấm Agaricus; việc đây là cùng pháp nhân với đơn vị trong bài mst.gov.vn chỉ dựa trên trùng tên đầy đủ, người tra cổng cần kiểm. Không có mã số.</t>
  </si>
  <si>
    <t xml:space="preserve">15_cong_ty_tnhh_cong_nghe_sinh_hoc_xanh_nha.pdf</t>
  </si>
  <si>
    <t xml:space="preserve">Công ty TNHH Luyện kim Trần Hồng Quân</t>
  </si>
  <si>
    <t xml:space="preserve">Chưa có tên pháp nhân tự khai. Không tìm thấy website chính chủ của công ty; kết quả tìm kiếm chỉ ra báo chí, trang tuyển dụng, cổng tỉnh và trang tổng hợp mã số (bị cấm dùng). Tên trong registry đã là tên dạng pháp nhân, cần người tra cổng xác nhận.</t>
  </si>
  <si>
    <t xml:space="preserve">16_cong_ty_tnhh_luyen_kim_tran_hong_quan.pdf</t>
  </si>
  <si>
    <t xml:space="preserve">CT Group</t>
  </si>
  <si>
    <t xml:space="preserve">Chưa có tên pháp nhân tự khai. CT Group là tên tập đoàn (nhãn nhóm nhiều công ty, chính sách quyền riêng tư gọi là Tập đoàn CTGroup và các công ty thành viên); website không nêu tên pháp nhân công ty mẹ. Mảng UAV do CT UAV, mảng chip do CT Semiconductor, đều là thành viên, pháp nhân riêng. Anh Lâm cần quyết registry trỏ tới pháp nhân nào.</t>
  </si>
  <si>
    <t xml:space="preserve">17_ct_group.pdf</t>
  </si>
  <si>
    <t xml:space="preserve">CT Semiconductor</t>
  </si>
  <si>
    <t xml:space="preserve">CT Semiconductor Corporation</t>
  </si>
  <si>
    <t xml:space="preserve">ctsemiconductor.com</t>
  </si>
  <si>
    <t xml:space="preserve">Tên chỉ lấy được từ thẻ meta og:site_name, dạng tiếng Anh; thân trang không ghi tên tiếng Việt đầy đủ hay mã số. Là công ty thành viên, pháp nhân khác với công ty mẹ CT Group.</t>
  </si>
  <si>
    <t xml:space="preserve">18_ct_semiconductor_corporation.pdf</t>
  </si>
  <si>
    <t xml:space="preserve">FECON</t>
  </si>
  <si>
    <t xml:space="preserve">Công ty Cổ phần Tập đoàn FECON</t>
  </si>
  <si>
    <t xml:space="preserve">0101502599</t>
  </si>
  <si>
    <t xml:space="preserve">fecon.com.vn</t>
  </si>
  <si>
    <t xml:space="preserve">Tìm theo mã tự khai. Span ghi TÊN CŨ của pháp nhân (thông cáo 2015, FECON là cổ đông sáng lập của công ty con FECON UCC). Nối với tên hiện hành qua ngày cấp 18/6/2004 trùng ngày thành lập trên trang giới thiệu và tin đổi tên 06/05/2016 (snapshot fecon_com_vn_doi_ten_20160506.md); người tra cổng cần xác nhận mã này mang tên hiện hành.</t>
  </si>
  <si>
    <t xml:space="preserve">19_cong_ty_co_phan_tap_doan_fecon.pdf</t>
  </si>
  <si>
    <t xml:space="preserve">FPT</t>
  </si>
  <si>
    <t xml:space="preserve">Công ty Cổ phần FPT</t>
  </si>
  <si>
    <t xml:space="preserve">0101248141</t>
  </si>
  <si>
    <t xml:space="preserve">fpt.com</t>
  </si>
  <si>
    <t xml:space="preserve">Tìm theo mã tự khai. Mã của công ty mẹ Công ty Cổ phần FPT. Không gán cho FPT Semiconductor hay nhà máy kiểm thử đóng gói.</t>
  </si>
  <si>
    <t xml:space="preserve">20_cong_ty_co_phan_fpt.pdf</t>
  </si>
  <si>
    <t xml:space="preserve">FPT Semiconductor</t>
  </si>
  <si>
    <t xml:space="preserve">Chưa có tên pháp nhân tự khai. fpt-semiconductor.com chỉ ghi nhãn 'FPT Semiconductor' và bản quyền '© 2026 FPT'; trang Privacy Policy là chữ mẫu Lorem ipsum. Không có tên pháp nhân đầy đủ. Là công ty con của FPT, không dùng tên/mã Công ty Cổ phần FPT.</t>
  </si>
  <si>
    <t xml:space="preserve">21_fpt_semiconductor.pdf</t>
  </si>
  <si>
    <t xml:space="preserve">GG Power</t>
  </si>
  <si>
    <t xml:space="preserve">Công ty Cổ phần Công nghiệp GG</t>
  </si>
  <si>
    <t xml:space="preserve">ggp.vn</t>
  </si>
  <si>
    <t xml:space="preserve">GG Power là thương hiệu; pháp nhân đứng tên website là Công ty Cổ phần Công nghiệp GG (bản tiếng Anh ghi GG Industries). Website không công bố mã số.</t>
  </si>
  <si>
    <t xml:space="preserve">22_cong_ty_co_phan_cong_nghiep_gg.pdf</t>
  </si>
  <si>
    <t xml:space="preserve">HTI Technology</t>
  </si>
  <si>
    <t xml:space="preserve">Công ty Cổ phần Đầu tư và Công nghệ HTI</t>
  </si>
  <si>
    <t xml:space="preserve">htigroup.vn</t>
  </si>
  <si>
    <t xml:space="preserve">BẪY ĐÃ BIẾT: Công ty cổ phần HTI UAS là công ty thành viên, pháp nhân RIÊNG, mới công bố thành lập 24/01/2026, nay chuyên UAV (xem htigroup_vn_cong_ty_thanh_vien_00000000.md). Bài cafef 09/2025 có trước ngày đó nên nhãn HTI Technology ứng với công ty mẹ; anh Lâm quyết nếu registry muốn trỏ tới HTI UAS. Tên chỉ có ở tiêu đề và thẻ meta trang, không có mã số.</t>
  </si>
  <si>
    <t xml:space="preserve">23_cong_ty_co_phan_dau_tu_va_cong_nghe_hti.pdf</t>
  </si>
  <si>
    <t xml:space="preserve">Indefol</t>
  </si>
  <si>
    <t xml:space="preserve">Chưa có tên pháp nhân tự khai. Nhãn là thương hiệu của nhóm đa quốc gia: website indefol.com tự gọi là 'Indefol GmbH' và 'INDEFOL GROUP', có văn phòng Đức, Pháp, Việt Nam (200B Nguyễn Văn Hưởng, TP HCM) và nhiều nước khác, nhưng không nêu tên pháp nhân Việt Nam nào. Không tự gán; anh Lâm cần quyết pháp nhân Việt Nam đứng sau hệ điện phân IDF-EX1000X.</t>
  </si>
  <si>
    <t xml:space="preserve">24_indefol.pdf</t>
  </si>
  <si>
    <t xml:space="preserve">Liên danh tư vấn TEDI - TRICC - TEDI SOUTH</t>
  </si>
  <si>
    <t xml:space="preserve">Chưa có tên pháp nhân tự khai. Liên danh tư vấn, không phải pháp nhân. Thành viên theo tên viết tắt trong nguồn: TEDI, TRICC, TEDI SOUTH (thường được hiểu là Tổng công ty Tư vấn thiết kế Giao thông vận tải - CTCP, Công ty CP Tư vấn đầu tư và Xây dựng GTVT, Công ty CP Tư vấn thiết kế GTVT phía Nam; tên đầy đủ chưa đối chiếu website chính chủ). Mỗi thành viên là pháp nhân riêng, cần tạo đơn vị riêng nếu muốn định danh.</t>
  </si>
  <si>
    <t xml:space="preserve">25_lien_danh_tu_van_tedi_tricc_tedi_south.pdf</t>
  </si>
  <si>
    <t xml:space="preserve">Masan High-Tech Materials</t>
  </si>
  <si>
    <t xml:space="preserve">Công ty Cổ phần Masan High-Tech Materials</t>
  </si>
  <si>
    <t xml:space="preserve">0309966889</t>
  </si>
  <si>
    <t xml:space="preserve">masanhightechmaterials.com</t>
  </si>
  <si>
    <t xml:space="preserve">Tìm theo mã tự khai. Số Giấy chứng nhận đăng ký doanh nghiệp do Sở KH&amp;ĐT TP.HCM cấp, điều chỉnh gần nhất 20/01/2025 theo báo cáo; là mã của pháp nhân mẹ, không phải của Núi Pháo hay Vonfram Masan.</t>
  </si>
  <si>
    <t xml:space="preserve">26_cong_ty_co_phan_masan_high_tech_material.pdf</t>
  </si>
  <si>
    <t xml:space="preserve">MiSmart</t>
  </si>
  <si>
    <t xml:space="preserve">Chưa có tên pháp nhân tự khai. Website mismart.ai đang ở chế độ Coming Soon (đang nâng cấp), trang con cũng trả về rỗng; không có tên pháp nhân.</t>
  </si>
  <si>
    <t xml:space="preserve">27_mismart.pdf</t>
  </si>
  <si>
    <t xml:space="preserve">MK Smart</t>
  </si>
  <si>
    <t xml:space="preserve">Công ty Cổ phần Thông minh MK</t>
  </si>
  <si>
    <t xml:space="preserve">mksmart.com.vn</t>
  </si>
  <si>
    <t xml:space="preserve">Tên tiếng Anh trên cùng trang là MK Smart Joint Stock Company. Website không công bố mã số.</t>
  </si>
  <si>
    <t xml:space="preserve">28_cong_ty_co_phan_thong_minh_mk.pdf</t>
  </si>
  <si>
    <t xml:space="preserve">Nhà máy Kiểm thử và Đóng gói tiên tiến chip bán dẫn FPT</t>
  </si>
  <si>
    <t xml:space="preserve">Chưa có tên pháp nhân tự khai. Nhãn là một nhà máy (cơ sở sản xuất), không phải pháp nhân. Trang fpt-semiconductor.com/fat/ gọi đơn vị vận hành là 'FPT Analysis Technologies (FAT)', 'a member of FPT Corporation', chỉ là tên tiếng Anh, không có tên pháp nhân tiếng Việt hay mã. Để anh Lâm quyết gắn với pháp nhân nào.</t>
  </si>
  <si>
    <t xml:space="preserve">29_nha_may_kiem_thu_va_dong_goi_tien_tien_c.pdf</t>
  </si>
  <si>
    <t xml:space="preserve">Phenikaa-X</t>
  </si>
  <si>
    <t xml:space="preserve">Chưa có tên pháp nhân tự khai. phenikaa-x.com chỉ ghi Phenikaa-X là công ty công nghệ thuộc Phenikaa Group, không ghi tên pháp nhân đầy đủ; /contact trả về nội dung trang chủ.</t>
  </si>
  <si>
    <t xml:space="preserve">30_phenikaa_x.pdf</t>
  </si>
  <si>
    <t xml:space="preserve">Phòng Thí nghiệm trọng điểm công nghệ lọc, hóa dầu</t>
  </si>
  <si>
    <t xml:space="preserve">Viện Hóa học công nghiệp Việt Nam</t>
  </si>
  <si>
    <t xml:space="preserve">viic.vn</t>
  </si>
  <si>
    <t xml:space="preserve">Nhãn là một phòng thí nghiệm trọng điểm, không phải pháp nhân độc lập theo lời website; pháp nhân đề xuất là cơ quan chủ trì Viện Hóa học công nghiệp Việt Nam (thuộc Tập đoàn Hóa chất Việt Nam). Viện là pháp nhân khác với Tập đoàn, không lấy mã Tập đoàn.</t>
  </si>
  <si>
    <t xml:space="preserve">31_vien_hoa_hoc_cong_nghiep_viet_nam.pdf</t>
  </si>
  <si>
    <t xml:space="preserve">Realtime Robotics (RtR)</t>
  </si>
  <si>
    <t xml:space="preserve">Real-time Robotics Inc.</t>
  </si>
  <si>
    <t xml:space="preserve">rtrobotics.com</t>
  </si>
  <si>
    <t xml:space="preserve">CHÚ Ý: đây là pháp nhân Mỹ (trụ sở Castro Valley, CA), không có mã số Việt Nam. Website chỉ ghi Trung tâm R&amp;D tại Khu Công nghệ cao Sài Gòn mà không nêu tên pháp nhân Việt Nam; pháp nhân Việt Nam (nếu có) là pháp nhân riêng, cần anh Lâm xác nhận nội bộ hoặc tra cổng.</t>
  </si>
  <si>
    <t xml:space="preserve">32_real_time_robotics_inc.pdf</t>
  </si>
  <si>
    <t xml:space="preserve">ROSTEK</t>
  </si>
  <si>
    <t xml:space="preserve">Rostek JSC</t>
  </si>
  <si>
    <t xml:space="preserve">rostek.com.vn</t>
  </si>
  <si>
    <t xml:space="preserve">Chỉ có dạng viết tắt tiếng Anh từ thẻ meta (trang dùng JavaScript, không đọc được thân trang); tên tiếng Việt đầy đủ và mã số chưa thấy. Người tra cổng tìm theo từ khóa Rostek.</t>
  </si>
  <si>
    <t xml:space="preserve">33_rostek_jsc.pdf</t>
  </si>
  <si>
    <t xml:space="preserve">Tập đoàn Dabaco Việt Nam</t>
  </si>
  <si>
    <t xml:space="preserve">Công ty Cổ phần Tập đoàn DABACO Việt Nam</t>
  </si>
  <si>
    <t xml:space="preserve">2300105790</t>
  </si>
  <si>
    <t xml:space="preserve">dabaco.com.vn</t>
  </si>
  <si>
    <t xml:space="preserve">Tìm theo mã tự khai. Trang tiếng Anh cũ (bản quyền 2012) còn truy cập được; bảng bị trích xuất tách nhãn với giá trị, giá trị cuối ': 2300105790.' ứng với nhãn cuối 'Tax Code'. Mã của pháp nhân mẹ, không dùng cho công ty con (DACOVET...). Cần đối chiếu cổng.</t>
  </si>
  <si>
    <t xml:space="preserve">34_cong_ty_co_phan_tap_doan_dabaco_viet_nam.pdf</t>
  </si>
  <si>
    <t xml:space="preserve">Tập đoàn MISA</t>
  </si>
  <si>
    <t xml:space="preserve">Công ty cổ phần MISA</t>
  </si>
  <si>
    <t xml:space="preserve">0101243150</t>
  </si>
  <si>
    <t xml:space="preserve">misa.vn</t>
  </si>
  <si>
    <t xml:space="preserve">Tìm theo mã tự khai. Chân trang cùng URL ghi trùng số: Giấy CNĐKKD 0101243150, cấp lần đầu 22/04/2002 tại Hà Nội.</t>
  </si>
  <si>
    <t xml:space="preserve">35_cong_ty_co_phan_misa.pdf</t>
  </si>
  <si>
    <t xml:space="preserve">Tập đoàn Viettel</t>
  </si>
  <si>
    <t xml:space="preserve">Tập đoàn Công nghiệp – Viễn thông Quân đội</t>
  </si>
  <si>
    <t xml:space="preserve">0100109106</t>
  </si>
  <si>
    <t xml:space="preserve">viettelai.vn</t>
  </si>
  <si>
    <t xml:space="preserve">Tìm theo mã tự khai. Mã của pháp nhân mẹ (Tập đoàn). Các đơn vị Viettel AI, Viettel High Tech, An ninh mạng Viettel có mã riêng dạng 0100109106-xxx hoặc pháp nhân riêng, không dùng mã này cho họ. Ngày đăng ký lần đầu trang ghi 13/07/2010, cần đối chiếu cổng.</t>
  </si>
  <si>
    <t xml:space="preserve">36_tap_doan_cong_nghiep_vien_thong_quan_doi.pdf</t>
  </si>
  <si>
    <t xml:space="preserve">Tổng công ty Cổ phần Dịch vụ Kỹ thuật Dầu khí Việt Nam (PTSC)</t>
  </si>
  <si>
    <t xml:space="preserve">Tổng công ty Cổ phần Dịch vụ Kỹ thuật Dầu khí Việt Nam</t>
  </si>
  <si>
    <t xml:space="preserve">0100150577</t>
  </si>
  <si>
    <t xml:space="preserve">ptsc.com.vn</t>
  </si>
  <si>
    <t xml:space="preserve">Tìm theo mã tự khai. Mã của pháp nhân mẹ, tự khai trong thông báo họp ĐHĐCĐ 2023. Site còn có mục 'Giấy CNĐKKD' (chưa mở) có thể dùng để đối chiếu thêm.</t>
  </si>
  <si>
    <t xml:space="preserve">37_tong_cong_ty_co_phan_dich_vu_ky_thuat_da.pdf</t>
  </si>
  <si>
    <t xml:space="preserve">Tổng công ty Thiết bị điện Đông Anh</t>
  </si>
  <si>
    <t xml:space="preserve">Tổng công ty Thiết bị điện Đông Anh – Công ty cổ phần</t>
  </si>
  <si>
    <t xml:space="preserve">0100101322</t>
  </si>
  <si>
    <t xml:space="preserve">eemc.com.vn</t>
  </si>
  <si>
    <t xml:space="preserve">Tìm theo mã tự khai. Trang tiếng Anh, thông tin đăng ký mới tới lần thay đổi thứ 14 (01/11/2017), có thể cũ; cùng trang ghi số ĐKKD cũ 0103008085 nay là 0100101322. Mã của tổng công ty, không dùng cho hai công ty TNHH MTV con.</t>
  </si>
  <si>
    <t xml:space="preserve">38_tong_cong_ty_thiet_bi_dien_dong_anh_cong.pdf</t>
  </si>
  <si>
    <t xml:space="preserve">Trung tâm Vũ trụ Việt Nam</t>
  </si>
  <si>
    <t xml:space="preserve">vnsc.org.vn</t>
  </si>
  <si>
    <t xml:space="preserve">Đơn vị nghiên cứu trực thuộc Viện Hàn lâm Khoa học và Công nghệ Việt Nam: vast.gov.vn liệt kê (19) Trung tâm Vũ trụ Việt Nam trong các đơn vị nghiên cứu (bản chụp vast_gov_vn_chuc_nang_nhiem_vu_00000000.md), bản tiếng Anh vnsc.org.vn ghi under Vietnam Academy of Science and Technology (bản chụp vnsc_org_vn_about_vnsc_00000000.md).</t>
  </si>
  <si>
    <t xml:space="preserve">39_trung_tam_vu_tru_viet_nam.pdf</t>
  </si>
  <si>
    <t xml:space="preserve">Trường Đại học Khoa học Tự nhiên, Đại học Quốc gia Hà Nội</t>
  </si>
  <si>
    <t xml:space="preserve">hus.vnu.edu.vn</t>
  </si>
  <si>
    <t xml:space="preserve">truong</t>
  </si>
  <si>
    <t xml:space="preserve">Trường đại học thành viên của Đại học Quốc gia Hà Nội (trang lịch sử: trường đại học thành viên nòng cốt của Đại học Quốc gia Hà Nội); trường và ĐHQGHN là hai đơn vị, không lấy mã ĐHQGHN cho trường.</t>
  </si>
  <si>
    <t xml:space="preserve">40_truong_dai_hoc_khoa_hoc_tu_nhien_dai_hoc.pdf</t>
  </si>
  <si>
    <t xml:space="preserve">Viettel AI</t>
  </si>
  <si>
    <t xml:space="preserve">Chưa có tên pháp nhân tự khai. viettelai.vn/privacy/owner ghi chủ sở hữu website là Tập đoàn Công nghiệp – Viễn thông Quân đội (pháp nhân mẹ), không nêu Viettel AI có pháp nhân riêng hay mã đơn vị phụ thuộc. Không tự gán tên/mã của mẹ cho đơn vị; để anh Lâm quyết.</t>
  </si>
  <si>
    <t xml:space="preserve">41_viettel_ai.pdf</t>
  </si>
  <si>
    <t xml:space="preserve">Viettel High Tech</t>
  </si>
  <si>
    <t xml:space="preserve">Chưa có tên pháp nhân tự khai. viettelhightech.vn trả trang rỗng (JavaScript), cả trang lien-he. Tên miền viettelrd.com.vn (từng được báo dẫn) nay chứa nội dung rác và liên kết cá cược, không phải chính chủ. Không có tên pháp nhân từ nguồn chính chủ.</t>
  </si>
  <si>
    <t xml:space="preserve">42_viettel_high_tech.pdf</t>
  </si>
  <si>
    <t xml:space="preserve">Viện Công nghệ xạ hiếm</t>
  </si>
  <si>
    <t xml:space="preserve">itrre.gov.vn</t>
  </si>
  <si>
    <t xml:space="preserve">Tổ chức khoa học và công nghệ công lập trực thuộc Viện Năng lượng nguyên tử Việt Nam (VINATOM), Bộ Khoa học và Công nghệ; VINATOM là đơn vị cấp trên, không lấy mã VINATOM.</t>
  </si>
  <si>
    <t xml:space="preserve">43_vien_cong_nghe_xa_hiem.pdf</t>
  </si>
  <si>
    <t xml:space="preserve">Viện Cơ điện Nông nghiệp và Công nghệ Sau thu hoạch</t>
  </si>
  <si>
    <t xml:space="preserve">Chưa có tên pháp nhân tự khai. Website chính chủ viaep.org.vn trả về rỗng ở mọi trang đã thử (có thể nội dung dựng bằng JavaScript), không lấy được nguyên văn. Context từ trang chính thức khác: vaas.vn (tin 24/12/2025) ghi Viện Khoa học Nông nghiệp Việt Nam đã xây dựng Đề án tiếp nhận nguyên trạng Viện Cơ điện nông nghiệp và Công nghệ sau thu hoạch vào VAAS, đề án đã trình Bộ Nông nghiệp và Môi trường; trước đó Viện trực thuộc Bộ. Cơ quan chủ quản đang chuyển đổi, cần anh Lâm hoặc người tra cổng xác nhận tên và đơn vị chủ quản hiện hành.</t>
  </si>
  <si>
    <t xml:space="preserve">44_vien_co_dien_nong_nghiep_va_cong_nghe_sa.pdf</t>
  </si>
  <si>
    <t xml:space="preserve">Viện Di truyền Nông nghiệp Việt Nam</t>
  </si>
  <si>
    <t xml:space="preserve">Viện Di truyền Nông nghiệp</t>
  </si>
  <si>
    <t xml:space="preserve">agi.gov.vn</t>
  </si>
  <si>
    <t xml:space="preserve">Tên trong registry có thêm chữ Việt Nam, tên trên website là Viện Di truyền Nông nghiệp. Đơn vị sự nghiệp khoa học trực thuộc Viện Khoa học Nông nghiệp Việt Nam, có con dấu và tài khoản riêng. Lưu ý: tin mae.gov.vn 16/06/2025 nêu dự thảo hợp nhất Viện với Trung tâm Tài nguyên thực vật, chưa thấy xác nhận hoàn tất; người tra cổng cần kiểm tên hiện hành.</t>
  </si>
  <si>
    <t xml:space="preserve">45_vien_di_truyen_nong_nghiep.pdf</t>
  </si>
  <si>
    <t xml:space="preserve">Viện Hàn lâm Khoa học và Công nghệ Việt Nam</t>
  </si>
  <si>
    <t xml:space="preserve">vast.gov.vn</t>
  </si>
  <si>
    <t xml:space="preserve">Cơ quan cấp quốc gia, có nhiều viện và trung tâm trực thuộc (trong lô này: Viện Khoa học vật liệu, Trung tâm Vũ trụ Việt Nam); không dùng mã của Viện Hàn lâm cho các đơn vị con.</t>
  </si>
  <si>
    <t xml:space="preserve">46_vien_han_lam_khoa_hoc_va_cong_nghe_viet.pdf</t>
  </si>
  <si>
    <t xml:space="preserve">Viện Khoa học và Công nghệ Việt Nam - Hàn Quốc (VKIST)</t>
  </si>
  <si>
    <t xml:space="preserve">Viện Khoa học và Công nghệ Việt Nam - Hàn Quốc</t>
  </si>
  <si>
    <t xml:space="preserve">vkist.mst.gov.vn</t>
  </si>
  <si>
    <t xml:space="preserve">Tổ chức khoa học và công nghệ trực thuộc Bộ Khoa học và Công nghệ, do Chính phủ thành lập theo Nghị định 50/2015/NĐ-CP.</t>
  </si>
  <si>
    <t xml:space="preserve">47_vien_khoa_hoc_va_cong_nghe_viet_nam_han.pdf</t>
  </si>
  <si>
    <t xml:space="preserve">Viện Khoa học vật liệu</t>
  </si>
  <si>
    <t xml:space="preserve">Đơn vị nghiên cứu trực thuộc Viện Hàn lâm Khoa học và Công nghệ Việt Nam theo trang chức năng nhiệm vụ của Viện Hàn lâm; nguồn là website cơ quan chủ quản chứ không phải website riêng của Viện, người duyệt cân nhắc.</t>
  </si>
  <si>
    <t xml:space="preserve">48_vien_khoa_hoc_vat_lieu.pdf</t>
  </si>
  <si>
    <t xml:space="preserve">Viện Khoa học-Công nghệ mật mã</t>
  </si>
  <si>
    <t xml:space="preserve">Chưa có tên pháp nhân tự khai. Không tìm thấy website riêng của Viện. Cổng bcy.gov.vn (Ban Cơ yếu Chính phủ) gọi đơn vị là Viện Khoa học Công nghệ mật mã (KHCNMM), đưa tin trong mục Tin hoạt động của các cơ quan, đơn vị thuộc Ban, nhưng không nêu tư cách pháp nhân hay tên đầy đủ chính thức. Đơn vị thuộc lĩnh vực cơ yếu, bảo mật; cần anh Lâm quyết có tra cổng đăng ký hay không.</t>
  </si>
  <si>
    <t xml:space="preserve">49_vien_khoa_hoc_cong_nghe_mat_ma.pdf</t>
  </si>
  <si>
    <t xml:space="preserve">Viện nghiên cứu Tế bào gốc và Công nghệ Gen Vinmec</t>
  </si>
  <si>
    <t xml:space="preserve">Chưa có tên pháp nhân tự khai. Website chính chủ vinmec.com mô tả Viện (VRISG) là viện nghiên cứu Y Sinh phi lợi nhuận nằm trong hệ thống chăm sóc sức khoẻ Vinmec, được Tập đoàn Vingroup đầu tư; không nói Viện có pháp nhân riêng hay thuộc pháp nhân nào. Chân trang chính trang Viện ghi Bản quyền © 2026 thuộc về Công ty Cổ phần Bệnh viện Đa khoa Quốc tế Vinmec (pháp nhân chủ website, trụ sở 458 Minh Khai, cùng địa chỉ Viện). Không tự gán; anh Lâm quyết có lấy Công ty Cổ phần Bệnh viện Đa khoa Quốc tế Vinmec làm pháp nhân đứng sau hay không.</t>
  </si>
  <si>
    <t xml:space="preserve">50_vien_nghien_cuu_te_bao_goc_va_cong_nghe.pdf</t>
  </si>
  <si>
    <t xml:space="preserve">Viện Tế bào gốc, Trường Đại học Khoa học Tự nhiên, ĐHQG TP.HCM</t>
  </si>
  <si>
    <t xml:space="preserve">Viện Tế bào gốc</t>
  </si>
  <si>
    <t xml:space="preserve">sci.edu.vn</t>
  </si>
  <si>
    <t xml:space="preserve">Website nói Viện là đơn vị khoa học công nghệ tự chủ tài chính, có con dấu và tài khoản riêng, trực thuộc Trường Đại học Khoa học tự nhiên, ĐHQG-HCM; tên giao dịch chỉ là Viện Tế bào gốc nên khi tra cổng cần kèm tên trường chủ quản để tránh trùng tên.</t>
  </si>
  <si>
    <t xml:space="preserve">51_vien_te_bao_goc.pdf</t>
  </si>
  <si>
    <t xml:space="preserve">Viện Vaccine và sinh phẩm y tế (IVAC)</t>
  </si>
  <si>
    <t xml:space="preserve">Viện Vắc xin và Sinh phẩm Y tế</t>
  </si>
  <si>
    <t xml:space="preserve">ivac.com.vn</t>
  </si>
  <si>
    <t xml:space="preserve">Tên registry viết Vaccine, tên pháp nhân trên website viết Vắc xin. Đơn vị thuộc Bộ Y tế (quy chế do Bộ trưởng Bộ Y tế ban hành, chịu trách nhiệm trước Bộ trưởng Bộ Y Tế).</t>
  </si>
  <si>
    <t xml:space="preserve">52_vien_vac_xin_va_sinh_pham_y_te.pdf</t>
  </si>
  <si>
    <t xml:space="preserve">VinAI</t>
  </si>
  <si>
    <t xml:space="preserve">Công ty cổ phần Nghiên cứu và Ứng dụng trí tuệ nhân tạo VinAI</t>
  </si>
  <si>
    <t xml:space="preserve">vinai.io</t>
  </si>
  <si>
    <t xml:space="preserve">Pháp nhân riêng trong hệ sinh thái Vingroup, không dùng mã Vingroup. Website không công bố mã số.</t>
  </si>
  <si>
    <t xml:space="preserve">53_cong_ty_co_phan_nghien_cuu_va_ung_dung_t.pdf</t>
  </si>
  <si>
    <t xml:space="preserve">VinBigData</t>
  </si>
  <si>
    <t xml:space="preserve">VinBigData Joint Stock Company</t>
  </si>
  <si>
    <t xml:space="preserve">vinbigdata.com</t>
  </si>
  <si>
    <t xml:space="preserve">Chỉ có tên tiếng Anh; tên tiếng Việt dự kiến là Công ty cổ phần VinBigData nhưng chưa đọc được nguyên văn (trang chủ, liên hệ, chính sách dữ liệu trả về rỗng do JavaScript). Công ty con của Vingroup, pháp nhân riêng; tách từ Viện Nghiên cứu Dữ liệu lớn thuộc VinTech.</t>
  </si>
  <si>
    <t xml:space="preserve">54_vinbigdata_joint_stock_company.pdf</t>
  </si>
  <si>
    <t xml:space="preserve">VNPT</t>
  </si>
  <si>
    <t xml:space="preserve">Tập đoàn Bưu chính Viễn thông Việt Nam</t>
  </si>
  <si>
    <t xml:space="preserve">vnpt.com.vn</t>
  </si>
  <si>
    <t xml:space="preserve">Tên lấy từ trang của đơn vị trực thuộc VNPT Hà Nội, không phải trang của chính Tập đoàn; website không công bố mã số Tập đoàn.</t>
  </si>
  <si>
    <t xml:space="preserve">55_tap_doan_buu_chinh_vien_thong_viet_nam.pdf</t>
  </si>
  <si>
    <t xml:space="preserve">VNPT Technology</t>
  </si>
  <si>
    <t xml:space="preserve">Công ty Cổ phần Công nghệ Công nghiệp Bưu chính Viễn thông</t>
  </si>
  <si>
    <t xml:space="preserve">0105140413</t>
  </si>
  <si>
    <t xml:space="preserve">vnpt-technology.vn</t>
  </si>
  <si>
    <t xml:space="preserve">Tìm theo mã tự khai. Mã 10 số của pháp nhân riêng, không phải mã đơn vị phụ thuộc VNPT.</t>
  </si>
  <si>
    <t xml:space="preserve">56_cong_ty_co_phan_cong_nghe_cong_nghiep_bu.pdf</t>
  </si>
  <si>
    <t xml:space="preserve">VSAP LAB</t>
  </si>
  <si>
    <t xml:space="preserve">Công ty Cổ phần VSAP LAB</t>
  </si>
  <si>
    <t xml:space="preserve">vsaplab.com</t>
  </si>
  <si>
    <t xml:space="preserve">Website không công bố mã số. Lưu ý: chân trang vsaplab.com dẫn liên kết mạng xã hội và email của DSAC Đà Nẵng (dnaihub, dsac@danang.gov.vn), có thể do đơn vị thiết kế để lại; không ảnh hưởng tên pháp nhân.</t>
  </si>
  <si>
    <t xml:space="preserve">57_cong_ty_co_phan_vsap_lab.pdf</t>
  </si>
  <si>
    <t xml:space="preserve">VTI Solutions</t>
  </si>
  <si>
    <t xml:space="preserve">Công ty cổ phần VTI Solutions</t>
  </si>
  <si>
    <t xml:space="preserve">vti-solutions.vn</t>
  </si>
  <si>
    <t xml:space="preserve">Thành viên của VTI Group; công ty mẹ VTI là pháp nhân khác. Website không công bố mã số.</t>
  </si>
  <si>
    <t xml:space="preserve">58_cong_ty_co_phan_vti_solutions.pdf</t>
  </si>
  <si>
    <t xml:space="preserve">XBStation</t>
  </si>
  <si>
    <t xml:space="preserve">Chưa có tên pháp nhân tự khai. xbstation.com chỉ dùng tên thương hiệu XBStation (giới thiệu, liên hệ, nhà đầu tư, chân trang ghi Copyright không kèm tên công ty); không có tên pháp nhân.</t>
  </si>
  <si>
    <t xml:space="preserve">59_xbstation.pdf</t>
  </si>
  <si>
    <t xml:space="preserve">Zalo</t>
  </si>
  <si>
    <t xml:space="preserve">Chưa có tên pháp nhân tự khai. Nhãn là sản phẩm/thương hiệu, không phải pháp nhân. Trang zalo.me/legal.html ghi 'Bộ phận pháp lý Zalo - Công ty Cổ phần VNG' (bản chụp zalo_me_bao_cao_vi_pham_00000000.md). Để anh Lâm quyết có gắn với Công ty Cổ phần VNG không.</t>
  </si>
  <si>
    <t xml:space="preserve">60_zalo.pdf</t>
  </si>
</sst>
</file>

<file path=xl/styles.xml><?xml version="1.0" encoding="utf-8"?>
<styleSheet xmlns="http://schemas.openxmlformats.org/spreadsheetml/2006/main">
  <numFmts count="2">
    <numFmt numFmtId="164" formatCode="General"/>
    <numFmt numFmtId="165" formatCode="@"/>
  </numFmts>
  <fonts count="9">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i val="true"/>
      <sz val="10"/>
      <name val="Arial"/>
      <family val="0"/>
      <charset val="1"/>
    </font>
    <font>
      <i val="true"/>
      <sz val="11"/>
      <color rgb="FF808080"/>
      <name val="Arial"/>
      <family val="0"/>
      <charset val="1"/>
    </font>
    <font>
      <sz val="10"/>
      <name val="Arial"/>
      <family val="2"/>
    </font>
  </fonts>
  <fills count="3">
    <fill>
      <patternFill patternType="none"/>
    </fill>
    <fill>
      <patternFill patternType="gray125"/>
    </fill>
    <fill>
      <patternFill patternType="solid">
        <fgColor rgb="FFFFFF00"/>
        <bgColor rgb="FFFFFF00"/>
      </patternFill>
    </fill>
  </fills>
  <borders count="3">
    <border diagonalUp="false" diagonalDown="false">
      <left/>
      <right/>
      <top/>
      <bottom/>
      <diagonal/>
    </border>
    <border diagonalUp="false" diagonalDown="false">
      <left/>
      <right/>
      <top/>
      <bottom style="mediu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5" fontId="5" fillId="0" borderId="2" xfId="0" applyFont="true" applyBorder="true" applyAlignment="true" applyProtection="false">
      <alignment horizontal="general" vertical="top" textRotation="0" wrapText="true" indent="0" shrinkToFit="false"/>
      <protection locked="true" hidden="false"/>
    </xf>
    <xf numFmtId="165" fontId="5" fillId="2" borderId="2" xfId="0" applyFont="true" applyBorder="true" applyAlignment="true" applyProtection="false">
      <alignment horizontal="general" vertical="top" textRotation="0" wrapText="true" indent="0" shrinkToFit="false"/>
      <protection locked="true" hidden="false"/>
    </xf>
    <xf numFmtId="164" fontId="5" fillId="2" borderId="2"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26.8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1" t="s">
        <v>3</v>
      </c>
    </row>
    <row r="7" customFormat="false" ht="15" hidden="false" customHeight="false" outlineLevel="0" collapsed="false">
      <c r="A7" s="2" t="s">
        <v>4</v>
      </c>
    </row>
    <row r="8" customFormat="false" ht="26.8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26.85" hidden="false" customHeight="false" outlineLevel="0" collapsed="false">
      <c r="A13" s="2" t="s">
        <v>9</v>
      </c>
    </row>
    <row r="14" customFormat="false" ht="15" hidden="false" customHeight="false" outlineLevel="0" collapsed="false">
      <c r="A14" s="2" t="s">
        <v>10</v>
      </c>
    </row>
    <row r="15" customFormat="false" ht="26.8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40"/>
    <col collapsed="false" customWidth="true" hidden="false" outlineLevel="0" max="4" min="4" style="0" width="16"/>
    <col collapsed="false" customWidth="true" hidden="false" outlineLevel="0" max="5" min="5" style="0" width="26"/>
    <col collapsed="false" customWidth="true" hidden="false" outlineLevel="0" max="6" min="6" style="0" width="10"/>
    <col collapsed="false" customWidth="true" hidden="false" outlineLevel="0" max="7" min="7" style="0" width="60"/>
    <col collapsed="false" customWidth="true" hidden="false" outlineLevel="0" max="8" min="8" style="0" width="18"/>
    <col collapsed="false" customWidth="true" hidden="false" outlineLevel="0" max="9" min="9" style="0" width="40"/>
    <col collapsed="false" customWidth="true" hidden="false" outlineLevel="0" max="11" min="10" style="0" width="18"/>
    <col collapsed="false" customWidth="true" hidden="false" outlineLevel="0" max="13" min="12" style="0" width="16"/>
    <col collapsed="false" customWidth="true" hidden="false" outlineLevel="0" max="14" min="14" style="0" width="30"/>
    <col collapsed="false" customWidth="true" hidden="false" outlineLevel="0" max="15" min="15" style="0" width="40"/>
  </cols>
  <sheetData>
    <row r="1" customFormat="false" ht="26.85" hidden="false" customHeight="false" outlineLevel="0" collapsed="false">
      <c r="A1" s="3" t="s">
        <v>12</v>
      </c>
      <c r="B1" s="3" t="s">
        <v>13</v>
      </c>
      <c r="C1" s="3" t="s">
        <v>14</v>
      </c>
      <c r="D1" s="3" t="s">
        <v>15</v>
      </c>
      <c r="E1" s="3" t="s">
        <v>16</v>
      </c>
      <c r="F1" s="3" t="s">
        <v>17</v>
      </c>
      <c r="G1" s="3" t="s">
        <v>18</v>
      </c>
      <c r="H1" s="3" t="s">
        <v>19</v>
      </c>
      <c r="I1" s="3" t="s">
        <v>20</v>
      </c>
      <c r="J1" s="3" t="s">
        <v>21</v>
      </c>
      <c r="K1" s="3" t="s">
        <v>22</v>
      </c>
      <c r="L1" s="3" t="s">
        <v>23</v>
      </c>
      <c r="M1" s="3" t="s">
        <v>24</v>
      </c>
      <c r="N1" s="3" t="s">
        <v>25</v>
      </c>
      <c r="O1" s="3" t="s">
        <v>26</v>
      </c>
    </row>
    <row r="2" customFormat="false" ht="15" hidden="false" customHeight="false" outlineLevel="0" collapsed="false">
      <c r="A2" s="4" t="s">
        <v>27</v>
      </c>
    </row>
    <row r="3" customFormat="false" ht="15" hidden="false" customHeight="false" outlineLevel="0" collapsed="false">
      <c r="A3" s="5" t="s">
        <v>28</v>
      </c>
      <c r="B3" s="5" t="s">
        <v>29</v>
      </c>
      <c r="C3" s="5" t="s">
        <v>30</v>
      </c>
      <c r="D3" s="5" t="s">
        <v>31</v>
      </c>
      <c r="E3" s="5" t="s">
        <v>32</v>
      </c>
      <c r="F3" s="5" t="s">
        <v>33</v>
      </c>
      <c r="G3" s="5" t="s">
        <v>34</v>
      </c>
      <c r="H3" s="5" t="s">
        <v>31</v>
      </c>
      <c r="I3" s="5" t="s">
        <v>35</v>
      </c>
      <c r="J3" s="5" t="s">
        <v>36</v>
      </c>
      <c r="K3" s="5" t="str">
        <f aca="false">IF(H3="","",IF(D3="","CHỈ CÓ MÃ CỔNG",IF(TRIM(H3)=TRIM(D3),"KHỚP","LỆCH")))</f>
        <v>KHỚP</v>
      </c>
      <c r="L3" s="5" t="s">
        <v>37</v>
      </c>
      <c r="M3" s="5" t="s">
        <v>38</v>
      </c>
      <c r="N3" s="5" t="s">
        <v>39</v>
      </c>
      <c r="O3" s="5"/>
    </row>
    <row r="4" customFormat="false" ht="64.9" hidden="false" customHeight="false" outlineLevel="0" collapsed="false">
      <c r="A4" s="6" t="n">
        <v>1</v>
      </c>
      <c r="B4" s="6" t="s">
        <v>40</v>
      </c>
      <c r="C4" s="6" t="s">
        <v>40</v>
      </c>
      <c r="D4" s="7"/>
      <c r="E4" s="6" t="s">
        <v>41</v>
      </c>
      <c r="F4" s="6" t="s">
        <v>42</v>
      </c>
      <c r="G4" s="6" t="s">
        <v>43</v>
      </c>
      <c r="H4" s="8"/>
      <c r="I4" s="9"/>
      <c r="J4" s="9"/>
      <c r="K4" s="10" t="str">
        <f aca="false">IF(H4="","",IF(D4="","CHỈ CÓ MÃ CỔNG",IF(TRIM(H4)=TRIM(D4),"KHỚP","LỆCH")))</f>
        <v/>
      </c>
      <c r="L4" s="9"/>
      <c r="M4" s="9"/>
      <c r="N4" s="10" t="s">
        <v>44</v>
      </c>
      <c r="O4" s="9"/>
    </row>
    <row r="5" customFormat="false" ht="39.55" hidden="false" customHeight="false" outlineLevel="0" collapsed="false">
      <c r="A5" s="6" t="n">
        <v>2</v>
      </c>
      <c r="B5" s="6" t="s">
        <v>45</v>
      </c>
      <c r="C5" s="6" t="s">
        <v>46</v>
      </c>
      <c r="D5" s="7" t="s">
        <v>47</v>
      </c>
      <c r="E5" s="6" t="s">
        <v>48</v>
      </c>
      <c r="F5" s="6" t="s">
        <v>33</v>
      </c>
      <c r="G5" s="6" t="s">
        <v>49</v>
      </c>
      <c r="H5" s="8"/>
      <c r="I5" s="9"/>
      <c r="J5" s="9"/>
      <c r="K5" s="10" t="str">
        <f aca="false">IF(H5="","",IF(D5="","CHỈ CÓ MÃ CỔNG",IF(TRIM(H5)=TRIM(D5),"KHỚP","LỆCH")))</f>
        <v/>
      </c>
      <c r="L5" s="9"/>
      <c r="M5" s="9"/>
      <c r="N5" s="10" t="s">
        <v>50</v>
      </c>
      <c r="O5" s="9"/>
    </row>
    <row r="6" customFormat="false" ht="52.2" hidden="false" customHeight="false" outlineLevel="0" collapsed="false">
      <c r="A6" s="6" t="n">
        <v>3</v>
      </c>
      <c r="B6" s="6" t="s">
        <v>51</v>
      </c>
      <c r="C6" s="6" t="s">
        <v>52</v>
      </c>
      <c r="D6" s="7"/>
      <c r="E6" s="6" t="s">
        <v>53</v>
      </c>
      <c r="F6" s="6" t="s">
        <v>33</v>
      </c>
      <c r="G6" s="6" t="s">
        <v>54</v>
      </c>
      <c r="H6" s="8"/>
      <c r="I6" s="9"/>
      <c r="J6" s="9"/>
      <c r="K6" s="10" t="str">
        <f aca="false">IF(H6="","",IF(D6="","CHỈ CÓ MÃ CỔNG",IF(TRIM(H6)=TRIM(D6),"KHỚP","LỆCH")))</f>
        <v/>
      </c>
      <c r="L6" s="9"/>
      <c r="M6" s="9"/>
      <c r="N6" s="10" t="s">
        <v>55</v>
      </c>
      <c r="O6" s="9"/>
    </row>
    <row r="7" customFormat="false" ht="90.25" hidden="false" customHeight="false" outlineLevel="0" collapsed="false">
      <c r="A7" s="6" t="n">
        <v>4</v>
      </c>
      <c r="B7" s="6" t="s">
        <v>56</v>
      </c>
      <c r="C7" s="6"/>
      <c r="D7" s="7"/>
      <c r="E7" s="6"/>
      <c r="F7" s="6"/>
      <c r="G7" s="6" t="s">
        <v>57</v>
      </c>
      <c r="H7" s="8"/>
      <c r="I7" s="9"/>
      <c r="J7" s="9"/>
      <c r="K7" s="10" t="str">
        <f aca="false">IF(H7="","",IF(D7="","CHỈ CÓ MÃ CỔNG",IF(TRIM(H7)=TRIM(D7),"KHỚP","LỆCH")))</f>
        <v/>
      </c>
      <c r="L7" s="9"/>
      <c r="M7" s="9"/>
      <c r="N7" s="10" t="s">
        <v>58</v>
      </c>
      <c r="O7" s="9"/>
    </row>
    <row r="8" customFormat="false" ht="26.85" hidden="false" customHeight="false" outlineLevel="0" collapsed="false">
      <c r="A8" s="6" t="n">
        <v>5</v>
      </c>
      <c r="B8" s="6" t="s">
        <v>59</v>
      </c>
      <c r="C8" s="6" t="s">
        <v>60</v>
      </c>
      <c r="D8" s="7"/>
      <c r="E8" s="6" t="s">
        <v>61</v>
      </c>
      <c r="F8" s="6"/>
      <c r="G8" s="6" t="s">
        <v>62</v>
      </c>
      <c r="H8" s="8"/>
      <c r="I8" s="9"/>
      <c r="J8" s="9"/>
      <c r="K8" s="10" t="str">
        <f aca="false">IF(H8="","",IF(D8="","CHỈ CÓ MÃ CỔNG",IF(TRIM(H8)=TRIM(D8),"KHỚP","LỆCH")))</f>
        <v/>
      </c>
      <c r="L8" s="9"/>
      <c r="M8" s="9"/>
      <c r="N8" s="10" t="s">
        <v>63</v>
      </c>
      <c r="O8" s="9"/>
    </row>
    <row r="9" customFormat="false" ht="39.55" hidden="false" customHeight="false" outlineLevel="0" collapsed="false">
      <c r="A9" s="6" t="n">
        <v>6</v>
      </c>
      <c r="B9" s="6" t="s">
        <v>64</v>
      </c>
      <c r="C9" s="6" t="s">
        <v>65</v>
      </c>
      <c r="D9" s="7" t="s">
        <v>66</v>
      </c>
      <c r="E9" s="6" t="s">
        <v>67</v>
      </c>
      <c r="F9" s="6" t="s">
        <v>33</v>
      </c>
      <c r="G9" s="6" t="s">
        <v>68</v>
      </c>
      <c r="H9" s="8"/>
      <c r="I9" s="9"/>
      <c r="J9" s="9"/>
      <c r="K9" s="10" t="str">
        <f aca="false">IF(H9="","",IF(D9="","CHỈ CÓ MÃ CỔNG",IF(TRIM(H9)=TRIM(D9),"KHỚP","LỆCH")))</f>
        <v/>
      </c>
      <c r="L9" s="9"/>
      <c r="M9" s="9"/>
      <c r="N9" s="10" t="s">
        <v>69</v>
      </c>
      <c r="O9" s="9"/>
    </row>
    <row r="10" customFormat="false" ht="39.55" hidden="false" customHeight="false" outlineLevel="0" collapsed="false">
      <c r="A10" s="6" t="n">
        <v>7</v>
      </c>
      <c r="B10" s="6" t="s">
        <v>70</v>
      </c>
      <c r="C10" s="6" t="s">
        <v>71</v>
      </c>
      <c r="D10" s="7"/>
      <c r="E10" s="6" t="s">
        <v>72</v>
      </c>
      <c r="F10" s="6"/>
      <c r="G10" s="6" t="s">
        <v>73</v>
      </c>
      <c r="H10" s="8"/>
      <c r="I10" s="9"/>
      <c r="J10" s="9"/>
      <c r="K10" s="10" t="str">
        <f aca="false">IF(H10="","",IF(D10="","CHỈ CÓ MÃ CỔNG",IF(TRIM(H10)=TRIM(D10),"KHỚP","LỆCH")))</f>
        <v/>
      </c>
      <c r="L10" s="9"/>
      <c r="M10" s="9"/>
      <c r="N10" s="10" t="s">
        <v>74</v>
      </c>
      <c r="O10" s="9"/>
    </row>
    <row r="11" customFormat="false" ht="52.2" hidden="false" customHeight="false" outlineLevel="0" collapsed="false">
      <c r="A11" s="6" t="n">
        <v>8</v>
      </c>
      <c r="B11" s="6" t="s">
        <v>75</v>
      </c>
      <c r="C11" s="6" t="s">
        <v>76</v>
      </c>
      <c r="D11" s="7"/>
      <c r="E11" s="6" t="s">
        <v>77</v>
      </c>
      <c r="F11" s="6"/>
      <c r="G11" s="6" t="s">
        <v>78</v>
      </c>
      <c r="H11" s="8"/>
      <c r="I11" s="9"/>
      <c r="J11" s="9"/>
      <c r="K11" s="10" t="str">
        <f aca="false">IF(H11="","",IF(D11="","CHỈ CÓ MÃ CỔNG",IF(TRIM(H11)=TRIM(D11),"KHỚP","LỆCH")))</f>
        <v/>
      </c>
      <c r="L11" s="9"/>
      <c r="M11" s="9"/>
      <c r="N11" s="10" t="s">
        <v>79</v>
      </c>
      <c r="O11" s="9"/>
    </row>
    <row r="12" customFormat="false" ht="102.95" hidden="false" customHeight="false" outlineLevel="0" collapsed="false">
      <c r="A12" s="6" t="n">
        <v>9</v>
      </c>
      <c r="B12" s="6" t="s">
        <v>80</v>
      </c>
      <c r="C12" s="6"/>
      <c r="D12" s="7"/>
      <c r="E12" s="6"/>
      <c r="F12" s="6"/>
      <c r="G12" s="6" t="s">
        <v>81</v>
      </c>
      <c r="H12" s="8"/>
      <c r="I12" s="9"/>
      <c r="J12" s="9"/>
      <c r="K12" s="10" t="str">
        <f aca="false">IF(H12="","",IF(D12="","CHỈ CÓ MÃ CỔNG",IF(TRIM(H12)=TRIM(D12),"KHỚP","LỆCH")))</f>
        <v/>
      </c>
      <c r="L12" s="9"/>
      <c r="M12" s="9"/>
      <c r="N12" s="10" t="s">
        <v>82</v>
      </c>
      <c r="O12" s="9"/>
    </row>
    <row r="13" customFormat="false" ht="39.55" hidden="false" customHeight="false" outlineLevel="0" collapsed="false">
      <c r="A13" s="6" t="n">
        <v>10</v>
      </c>
      <c r="B13" s="6" t="s">
        <v>83</v>
      </c>
      <c r="C13" s="6" t="s">
        <v>84</v>
      </c>
      <c r="D13" s="7"/>
      <c r="E13" s="6" t="s">
        <v>85</v>
      </c>
      <c r="F13" s="6"/>
      <c r="G13" s="6" t="s">
        <v>86</v>
      </c>
      <c r="H13" s="8"/>
      <c r="I13" s="9"/>
      <c r="J13" s="9"/>
      <c r="K13" s="10" t="str">
        <f aca="false">IF(H13="","",IF(D13="","CHỈ CÓ MÃ CỔNG",IF(TRIM(H13)=TRIM(D13),"KHỚP","LỆCH")))</f>
        <v/>
      </c>
      <c r="L13" s="9"/>
      <c r="M13" s="9"/>
      <c r="N13" s="10" t="s">
        <v>87</v>
      </c>
      <c r="O13" s="9"/>
    </row>
    <row r="14" customFormat="false" ht="52.2" hidden="false" customHeight="false" outlineLevel="0" collapsed="false">
      <c r="A14" s="6" t="n">
        <v>11</v>
      </c>
      <c r="B14" s="6" t="s">
        <v>88</v>
      </c>
      <c r="C14" s="6" t="s">
        <v>89</v>
      </c>
      <c r="D14" s="7"/>
      <c r="E14" s="6" t="s">
        <v>90</v>
      </c>
      <c r="F14" s="6"/>
      <c r="G14" s="6" t="s">
        <v>91</v>
      </c>
      <c r="H14" s="8"/>
      <c r="I14" s="9"/>
      <c r="J14" s="9"/>
      <c r="K14" s="10" t="str">
        <f aca="false">IF(H14="","",IF(D14="","CHỈ CÓ MÃ CỔNG",IF(TRIM(H14)=TRIM(D14),"KHỚP","LỆCH")))</f>
        <v/>
      </c>
      <c r="L14" s="9"/>
      <c r="M14" s="9"/>
      <c r="N14" s="10" t="s">
        <v>92</v>
      </c>
      <c r="O14" s="9"/>
    </row>
    <row r="15" customFormat="false" ht="39.55" hidden="false" customHeight="false" outlineLevel="0" collapsed="false">
      <c r="A15" s="6" t="n">
        <v>12</v>
      </c>
      <c r="B15" s="6" t="s">
        <v>93</v>
      </c>
      <c r="C15" s="6" t="s">
        <v>94</v>
      </c>
      <c r="D15" s="7" t="s">
        <v>95</v>
      </c>
      <c r="E15" s="6" t="s">
        <v>96</v>
      </c>
      <c r="F15" s="6" t="s">
        <v>33</v>
      </c>
      <c r="G15" s="6" t="s">
        <v>97</v>
      </c>
      <c r="H15" s="8"/>
      <c r="I15" s="9"/>
      <c r="J15" s="9"/>
      <c r="K15" s="10" t="str">
        <f aca="false">IF(H15="","",IF(D15="","CHỈ CÓ MÃ CỔNG",IF(TRIM(H15)=TRIM(D15),"KHỚP","LỆCH")))</f>
        <v/>
      </c>
      <c r="L15" s="9"/>
      <c r="M15" s="9"/>
      <c r="N15" s="10" t="s">
        <v>98</v>
      </c>
      <c r="O15" s="9"/>
    </row>
    <row r="16" customFormat="false" ht="52.2" hidden="false" customHeight="false" outlineLevel="0" collapsed="false">
      <c r="A16" s="6" t="n">
        <v>13</v>
      </c>
      <c r="B16" s="6" t="s">
        <v>99</v>
      </c>
      <c r="C16" s="6" t="s">
        <v>99</v>
      </c>
      <c r="D16" s="7"/>
      <c r="E16" s="6" t="s">
        <v>100</v>
      </c>
      <c r="F16" s="6"/>
      <c r="G16" s="6" t="s">
        <v>101</v>
      </c>
      <c r="H16" s="8"/>
      <c r="I16" s="9"/>
      <c r="J16" s="9"/>
      <c r="K16" s="10" t="str">
        <f aca="false">IF(H16="","",IF(D16="","CHỈ CÓ MÃ CỔNG",IF(TRIM(H16)=TRIM(D16),"KHỚP","LỆCH")))</f>
        <v/>
      </c>
      <c r="L16" s="9"/>
      <c r="M16" s="9"/>
      <c r="N16" s="10" t="s">
        <v>102</v>
      </c>
      <c r="O16" s="9"/>
    </row>
    <row r="17" customFormat="false" ht="39.55" hidden="false" customHeight="false" outlineLevel="0" collapsed="false">
      <c r="A17" s="6" t="n">
        <v>14</v>
      </c>
      <c r="B17" s="6" t="s">
        <v>103</v>
      </c>
      <c r="C17" s="6" t="s">
        <v>104</v>
      </c>
      <c r="D17" s="7"/>
      <c r="E17" s="6" t="s">
        <v>105</v>
      </c>
      <c r="F17" s="6" t="s">
        <v>33</v>
      </c>
      <c r="G17" s="6" t="s">
        <v>106</v>
      </c>
      <c r="H17" s="8"/>
      <c r="I17" s="9"/>
      <c r="J17" s="9"/>
      <c r="K17" s="10" t="str">
        <f aca="false">IF(H17="","",IF(D17="","CHỈ CÓ MÃ CỔNG",IF(TRIM(H17)=TRIM(D17),"KHỚP","LỆCH")))</f>
        <v/>
      </c>
      <c r="L17" s="9"/>
      <c r="M17" s="9"/>
      <c r="N17" s="10" t="s">
        <v>107</v>
      </c>
      <c r="O17" s="9"/>
    </row>
    <row r="18" customFormat="false" ht="52.2" hidden="false" customHeight="false" outlineLevel="0" collapsed="false">
      <c r="A18" s="6" t="n">
        <v>15</v>
      </c>
      <c r="B18" s="6" t="s">
        <v>108</v>
      </c>
      <c r="C18" s="6" t="s">
        <v>109</v>
      </c>
      <c r="D18" s="7"/>
      <c r="E18" s="6" t="s">
        <v>110</v>
      </c>
      <c r="F18" s="6" t="s">
        <v>33</v>
      </c>
      <c r="G18" s="6" t="s">
        <v>111</v>
      </c>
      <c r="H18" s="8"/>
      <c r="I18" s="9"/>
      <c r="J18" s="9"/>
      <c r="K18" s="10" t="str">
        <f aca="false">IF(H18="","",IF(D18="","CHỈ CÓ MÃ CỔNG",IF(TRIM(H18)=TRIM(D18),"KHỚP","LỆCH")))</f>
        <v/>
      </c>
      <c r="L18" s="9"/>
      <c r="M18" s="9"/>
      <c r="N18" s="10" t="s">
        <v>112</v>
      </c>
      <c r="O18" s="9"/>
    </row>
    <row r="19" customFormat="false" ht="64.9" hidden="false" customHeight="false" outlineLevel="0" collapsed="false">
      <c r="A19" s="6" t="n">
        <v>16</v>
      </c>
      <c r="B19" s="6" t="s">
        <v>113</v>
      </c>
      <c r="C19" s="6"/>
      <c r="D19" s="7"/>
      <c r="E19" s="6"/>
      <c r="F19" s="6"/>
      <c r="G19" s="6" t="s">
        <v>114</v>
      </c>
      <c r="H19" s="8"/>
      <c r="I19" s="9"/>
      <c r="J19" s="9"/>
      <c r="K19" s="10" t="str">
        <f aca="false">IF(H19="","",IF(D19="","CHỈ CÓ MÃ CỔNG",IF(TRIM(H19)=TRIM(D19),"KHỚP","LỆCH")))</f>
        <v/>
      </c>
      <c r="L19" s="9"/>
      <c r="M19" s="9"/>
      <c r="N19" s="10" t="s">
        <v>115</v>
      </c>
      <c r="O19" s="9"/>
    </row>
    <row r="20" customFormat="false" ht="77.6" hidden="false" customHeight="false" outlineLevel="0" collapsed="false">
      <c r="A20" s="6" t="n">
        <v>17</v>
      </c>
      <c r="B20" s="6" t="s">
        <v>116</v>
      </c>
      <c r="C20" s="6"/>
      <c r="D20" s="7"/>
      <c r="E20" s="6"/>
      <c r="F20" s="6" t="s">
        <v>33</v>
      </c>
      <c r="G20" s="6" t="s">
        <v>117</v>
      </c>
      <c r="H20" s="8"/>
      <c r="I20" s="9"/>
      <c r="J20" s="9"/>
      <c r="K20" s="10" t="str">
        <f aca="false">IF(H20="","",IF(D20="","CHỈ CÓ MÃ CỔNG",IF(TRIM(H20)=TRIM(D20),"KHỚP","LỆCH")))</f>
        <v/>
      </c>
      <c r="L20" s="9"/>
      <c r="M20" s="9"/>
      <c r="N20" s="10" t="s">
        <v>118</v>
      </c>
      <c r="O20" s="9"/>
    </row>
    <row r="21" customFormat="false" ht="39.55" hidden="false" customHeight="false" outlineLevel="0" collapsed="false">
      <c r="A21" s="6" t="n">
        <v>18</v>
      </c>
      <c r="B21" s="6" t="s">
        <v>119</v>
      </c>
      <c r="C21" s="6" t="s">
        <v>120</v>
      </c>
      <c r="D21" s="7"/>
      <c r="E21" s="6" t="s">
        <v>121</v>
      </c>
      <c r="F21" s="6"/>
      <c r="G21" s="6" t="s">
        <v>122</v>
      </c>
      <c r="H21" s="8"/>
      <c r="I21" s="9"/>
      <c r="J21" s="9"/>
      <c r="K21" s="10" t="str">
        <f aca="false">IF(H21="","",IF(D21="","CHỈ CÓ MÃ CỔNG",IF(TRIM(H21)=TRIM(D21),"KHỚP","LỆCH")))</f>
        <v/>
      </c>
      <c r="L21" s="9"/>
      <c r="M21" s="9"/>
      <c r="N21" s="10" t="s">
        <v>123</v>
      </c>
      <c r="O21" s="9"/>
    </row>
    <row r="22" customFormat="false" ht="77.6" hidden="false" customHeight="false" outlineLevel="0" collapsed="false">
      <c r="A22" s="6" t="n">
        <v>19</v>
      </c>
      <c r="B22" s="6" t="s">
        <v>124</v>
      </c>
      <c r="C22" s="6" t="s">
        <v>125</v>
      </c>
      <c r="D22" s="7" t="s">
        <v>126</v>
      </c>
      <c r="E22" s="6" t="s">
        <v>127</v>
      </c>
      <c r="F22" s="6"/>
      <c r="G22" s="6" t="s">
        <v>128</v>
      </c>
      <c r="H22" s="8"/>
      <c r="I22" s="9"/>
      <c r="J22" s="9"/>
      <c r="K22" s="10" t="str">
        <f aca="false">IF(H22="","",IF(D22="","CHỈ CÓ MÃ CỔNG",IF(TRIM(H22)=TRIM(D22),"KHỚP","LỆCH")))</f>
        <v/>
      </c>
      <c r="L22" s="9"/>
      <c r="M22" s="9"/>
      <c r="N22" s="10" t="s">
        <v>129</v>
      </c>
      <c r="O22" s="9"/>
    </row>
    <row r="23" customFormat="false" ht="39.55" hidden="false" customHeight="false" outlineLevel="0" collapsed="false">
      <c r="A23" s="6" t="n">
        <v>20</v>
      </c>
      <c r="B23" s="6" t="s">
        <v>130</v>
      </c>
      <c r="C23" s="6" t="s">
        <v>131</v>
      </c>
      <c r="D23" s="7" t="s">
        <v>132</v>
      </c>
      <c r="E23" s="6" t="s">
        <v>133</v>
      </c>
      <c r="F23" s="6"/>
      <c r="G23" s="6" t="s">
        <v>134</v>
      </c>
      <c r="H23" s="8"/>
      <c r="I23" s="9"/>
      <c r="J23" s="9"/>
      <c r="K23" s="10" t="str">
        <f aca="false">IF(H23="","",IF(D23="","CHỈ CÓ MÃ CỔNG",IF(TRIM(H23)=TRIM(D23),"KHỚP","LỆCH")))</f>
        <v/>
      </c>
      <c r="L23" s="9"/>
      <c r="M23" s="9"/>
      <c r="N23" s="10" t="s">
        <v>135</v>
      </c>
      <c r="O23" s="9"/>
    </row>
    <row r="24" customFormat="false" ht="64.9" hidden="false" customHeight="false" outlineLevel="0" collapsed="false">
      <c r="A24" s="6" t="n">
        <v>21</v>
      </c>
      <c r="B24" s="6" t="s">
        <v>136</v>
      </c>
      <c r="C24" s="6"/>
      <c r="D24" s="7"/>
      <c r="E24" s="6"/>
      <c r="F24" s="6"/>
      <c r="G24" s="6" t="s">
        <v>137</v>
      </c>
      <c r="H24" s="8"/>
      <c r="I24" s="9"/>
      <c r="J24" s="9"/>
      <c r="K24" s="10" t="str">
        <f aca="false">IF(H24="","",IF(D24="","CHỈ CÓ MÃ CỔNG",IF(TRIM(H24)=TRIM(D24),"KHỚP","LỆCH")))</f>
        <v/>
      </c>
      <c r="L24" s="9"/>
      <c r="M24" s="9"/>
      <c r="N24" s="10" t="s">
        <v>138</v>
      </c>
      <c r="O24" s="9"/>
    </row>
    <row r="25" customFormat="false" ht="39.55" hidden="false" customHeight="false" outlineLevel="0" collapsed="false">
      <c r="A25" s="6" t="n">
        <v>22</v>
      </c>
      <c r="B25" s="6" t="s">
        <v>139</v>
      </c>
      <c r="C25" s="6" t="s">
        <v>140</v>
      </c>
      <c r="D25" s="7"/>
      <c r="E25" s="6" t="s">
        <v>141</v>
      </c>
      <c r="F25" s="6"/>
      <c r="G25" s="6" t="s">
        <v>142</v>
      </c>
      <c r="H25" s="8"/>
      <c r="I25" s="9"/>
      <c r="J25" s="9"/>
      <c r="K25" s="10" t="str">
        <f aca="false">IF(H25="","",IF(D25="","CHỈ CÓ MÃ CỔNG",IF(TRIM(H25)=TRIM(D25),"KHỚP","LỆCH")))</f>
        <v/>
      </c>
      <c r="L25" s="9"/>
      <c r="M25" s="9"/>
      <c r="N25" s="10" t="s">
        <v>143</v>
      </c>
      <c r="O25" s="9"/>
    </row>
    <row r="26" customFormat="false" ht="90.25" hidden="false" customHeight="false" outlineLevel="0" collapsed="false">
      <c r="A26" s="6" t="n">
        <v>23</v>
      </c>
      <c r="B26" s="6" t="s">
        <v>144</v>
      </c>
      <c r="C26" s="6" t="s">
        <v>145</v>
      </c>
      <c r="D26" s="7"/>
      <c r="E26" s="6" t="s">
        <v>146</v>
      </c>
      <c r="F26" s="6"/>
      <c r="G26" s="6" t="s">
        <v>147</v>
      </c>
      <c r="H26" s="8"/>
      <c r="I26" s="9"/>
      <c r="J26" s="9"/>
      <c r="K26" s="10" t="str">
        <f aca="false">IF(H26="","",IF(D26="","CHỈ CÓ MÃ CỔNG",IF(TRIM(H26)=TRIM(D26),"KHỚP","LỆCH")))</f>
        <v/>
      </c>
      <c r="L26" s="9"/>
      <c r="M26" s="9"/>
      <c r="N26" s="10" t="s">
        <v>148</v>
      </c>
      <c r="O26" s="9"/>
    </row>
    <row r="27" customFormat="false" ht="90.25" hidden="false" customHeight="false" outlineLevel="0" collapsed="false">
      <c r="A27" s="6" t="n">
        <v>24</v>
      </c>
      <c r="B27" s="6" t="s">
        <v>149</v>
      </c>
      <c r="C27" s="6"/>
      <c r="D27" s="7"/>
      <c r="E27" s="6"/>
      <c r="F27" s="6" t="s">
        <v>33</v>
      </c>
      <c r="G27" s="6" t="s">
        <v>150</v>
      </c>
      <c r="H27" s="8"/>
      <c r="I27" s="9"/>
      <c r="J27" s="9"/>
      <c r="K27" s="10" t="str">
        <f aca="false">IF(H27="","",IF(D27="","CHỈ CÓ MÃ CỔNG",IF(TRIM(H27)=TRIM(D27),"KHỚP","LỆCH")))</f>
        <v/>
      </c>
      <c r="L27" s="9"/>
      <c r="M27" s="9"/>
      <c r="N27" s="10" t="s">
        <v>151</v>
      </c>
      <c r="O27" s="9"/>
    </row>
    <row r="28" customFormat="false" ht="102.95" hidden="false" customHeight="false" outlineLevel="0" collapsed="false">
      <c r="A28" s="6" t="n">
        <v>25</v>
      </c>
      <c r="B28" s="6" t="s">
        <v>152</v>
      </c>
      <c r="C28" s="6"/>
      <c r="D28" s="7"/>
      <c r="E28" s="6"/>
      <c r="F28" s="6"/>
      <c r="G28" s="6" t="s">
        <v>153</v>
      </c>
      <c r="H28" s="8"/>
      <c r="I28" s="9"/>
      <c r="J28" s="9"/>
      <c r="K28" s="10" t="str">
        <f aca="false">IF(H28="","",IF(D28="","CHỈ CÓ MÃ CỔNG",IF(TRIM(H28)=TRIM(D28),"KHỚP","LỆCH")))</f>
        <v/>
      </c>
      <c r="L28" s="9"/>
      <c r="M28" s="9"/>
      <c r="N28" s="10" t="s">
        <v>154</v>
      </c>
      <c r="O28" s="9"/>
    </row>
    <row r="29" customFormat="false" ht="52.2" hidden="false" customHeight="false" outlineLevel="0" collapsed="false">
      <c r="A29" s="6" t="n">
        <v>26</v>
      </c>
      <c r="B29" s="6" t="s">
        <v>155</v>
      </c>
      <c r="C29" s="6" t="s">
        <v>156</v>
      </c>
      <c r="D29" s="7" t="s">
        <v>157</v>
      </c>
      <c r="E29" s="6" t="s">
        <v>158</v>
      </c>
      <c r="F29" s="6"/>
      <c r="G29" s="6" t="s">
        <v>159</v>
      </c>
      <c r="H29" s="8"/>
      <c r="I29" s="9"/>
      <c r="J29" s="9"/>
      <c r="K29" s="10" t="str">
        <f aca="false">IF(H29="","",IF(D29="","CHỈ CÓ MÃ CỔNG",IF(TRIM(H29)=TRIM(D29),"KHỚP","LỆCH")))</f>
        <v/>
      </c>
      <c r="L29" s="9"/>
      <c r="M29" s="9"/>
      <c r="N29" s="10" t="s">
        <v>160</v>
      </c>
      <c r="O29" s="9"/>
    </row>
    <row r="30" customFormat="false" ht="39.55" hidden="false" customHeight="false" outlineLevel="0" collapsed="false">
      <c r="A30" s="6" t="n">
        <v>27</v>
      </c>
      <c r="B30" s="6" t="s">
        <v>161</v>
      </c>
      <c r="C30" s="6"/>
      <c r="D30" s="7"/>
      <c r="E30" s="6"/>
      <c r="F30" s="6"/>
      <c r="G30" s="6" t="s">
        <v>162</v>
      </c>
      <c r="H30" s="8"/>
      <c r="I30" s="9"/>
      <c r="J30" s="9"/>
      <c r="K30" s="10" t="str">
        <f aca="false">IF(H30="","",IF(D30="","CHỈ CÓ MÃ CỔNG",IF(TRIM(H30)=TRIM(D30),"KHỚP","LỆCH")))</f>
        <v/>
      </c>
      <c r="L30" s="9"/>
      <c r="M30" s="9"/>
      <c r="N30" s="10" t="s">
        <v>163</v>
      </c>
      <c r="O30" s="9"/>
    </row>
    <row r="31" customFormat="false" ht="26.85" hidden="false" customHeight="false" outlineLevel="0" collapsed="false">
      <c r="A31" s="6" t="n">
        <v>28</v>
      </c>
      <c r="B31" s="6" t="s">
        <v>164</v>
      </c>
      <c r="C31" s="6" t="s">
        <v>165</v>
      </c>
      <c r="D31" s="7"/>
      <c r="E31" s="6" t="s">
        <v>166</v>
      </c>
      <c r="F31" s="6"/>
      <c r="G31" s="6" t="s">
        <v>167</v>
      </c>
      <c r="H31" s="8"/>
      <c r="I31" s="9"/>
      <c r="J31" s="9"/>
      <c r="K31" s="10" t="str">
        <f aca="false">IF(H31="","",IF(D31="","CHỈ CÓ MÃ CỔNG",IF(TRIM(H31)=TRIM(D31),"KHỚP","LỆCH")))</f>
        <v/>
      </c>
      <c r="L31" s="9"/>
      <c r="M31" s="9"/>
      <c r="N31" s="10" t="s">
        <v>168</v>
      </c>
      <c r="O31" s="9"/>
    </row>
    <row r="32" customFormat="false" ht="77.6" hidden="false" customHeight="false" outlineLevel="0" collapsed="false">
      <c r="A32" s="6" t="n">
        <v>29</v>
      </c>
      <c r="B32" s="6" t="s">
        <v>169</v>
      </c>
      <c r="C32" s="6"/>
      <c r="D32" s="7"/>
      <c r="E32" s="6"/>
      <c r="F32" s="6"/>
      <c r="G32" s="6" t="s">
        <v>170</v>
      </c>
      <c r="H32" s="8"/>
      <c r="I32" s="9"/>
      <c r="J32" s="9"/>
      <c r="K32" s="10" t="str">
        <f aca="false">IF(H32="","",IF(D32="","CHỈ CÓ MÃ CỔNG",IF(TRIM(H32)=TRIM(D32),"KHỚP","LỆCH")))</f>
        <v/>
      </c>
      <c r="L32" s="9"/>
      <c r="M32" s="9"/>
      <c r="N32" s="10" t="s">
        <v>171</v>
      </c>
      <c r="O32" s="9"/>
    </row>
    <row r="33" customFormat="false" ht="39.55" hidden="false" customHeight="false" outlineLevel="0" collapsed="false">
      <c r="A33" s="6" t="n">
        <v>30</v>
      </c>
      <c r="B33" s="6" t="s">
        <v>172</v>
      </c>
      <c r="C33" s="6"/>
      <c r="D33" s="7"/>
      <c r="E33" s="6"/>
      <c r="F33" s="6"/>
      <c r="G33" s="6" t="s">
        <v>173</v>
      </c>
      <c r="H33" s="8"/>
      <c r="I33" s="9"/>
      <c r="J33" s="9"/>
      <c r="K33" s="10" t="str">
        <f aca="false">IF(H33="","",IF(D33="","CHỈ CÓ MÃ CỔNG",IF(TRIM(H33)=TRIM(D33),"KHỚP","LỆCH")))</f>
        <v/>
      </c>
      <c r="L33" s="9"/>
      <c r="M33" s="9"/>
      <c r="N33" s="10" t="s">
        <v>174</v>
      </c>
      <c r="O33" s="9"/>
    </row>
    <row r="34" customFormat="false" ht="64.9" hidden="false" customHeight="false" outlineLevel="0" collapsed="false">
      <c r="A34" s="6" t="n">
        <v>31</v>
      </c>
      <c r="B34" s="6" t="s">
        <v>175</v>
      </c>
      <c r="C34" s="6" t="s">
        <v>176</v>
      </c>
      <c r="D34" s="7"/>
      <c r="E34" s="6" t="s">
        <v>177</v>
      </c>
      <c r="F34" s="6" t="s">
        <v>42</v>
      </c>
      <c r="G34" s="6" t="s">
        <v>178</v>
      </c>
      <c r="H34" s="8"/>
      <c r="I34" s="9"/>
      <c r="J34" s="9"/>
      <c r="K34" s="10" t="str">
        <f aca="false">IF(H34="","",IF(D34="","CHỈ CÓ MÃ CỔNG",IF(TRIM(H34)=TRIM(D34),"KHỚP","LỆCH")))</f>
        <v/>
      </c>
      <c r="L34" s="9"/>
      <c r="M34" s="9"/>
      <c r="N34" s="10" t="s">
        <v>179</v>
      </c>
      <c r="O34" s="9"/>
    </row>
    <row r="35" customFormat="false" ht="64.9" hidden="false" customHeight="false" outlineLevel="0" collapsed="false">
      <c r="A35" s="6" t="n">
        <v>32</v>
      </c>
      <c r="B35" s="6" t="s">
        <v>180</v>
      </c>
      <c r="C35" s="6" t="s">
        <v>181</v>
      </c>
      <c r="D35" s="7"/>
      <c r="E35" s="6" t="s">
        <v>182</v>
      </c>
      <c r="F35" s="6" t="s">
        <v>33</v>
      </c>
      <c r="G35" s="6" t="s">
        <v>183</v>
      </c>
      <c r="H35" s="8"/>
      <c r="I35" s="9"/>
      <c r="J35" s="9"/>
      <c r="K35" s="10" t="str">
        <f aca="false">IF(H35="","",IF(D35="","CHỈ CÓ MÃ CỔNG",IF(TRIM(H35)=TRIM(D35),"KHỚP","LỆCH")))</f>
        <v/>
      </c>
      <c r="L35" s="9"/>
      <c r="M35" s="9"/>
      <c r="N35" s="10" t="s">
        <v>184</v>
      </c>
      <c r="O35" s="9"/>
    </row>
    <row r="36" customFormat="false" ht="39.55" hidden="false" customHeight="false" outlineLevel="0" collapsed="false">
      <c r="A36" s="6" t="n">
        <v>33</v>
      </c>
      <c r="B36" s="6" t="s">
        <v>185</v>
      </c>
      <c r="C36" s="6" t="s">
        <v>186</v>
      </c>
      <c r="D36" s="7"/>
      <c r="E36" s="6" t="s">
        <v>187</v>
      </c>
      <c r="F36" s="6"/>
      <c r="G36" s="6" t="s">
        <v>188</v>
      </c>
      <c r="H36" s="8"/>
      <c r="I36" s="9"/>
      <c r="J36" s="9"/>
      <c r="K36" s="10" t="str">
        <f aca="false">IF(H36="","",IF(D36="","CHỈ CÓ MÃ CỔNG",IF(TRIM(H36)=TRIM(D36),"KHỚP","LỆCH")))</f>
        <v/>
      </c>
      <c r="L36" s="9"/>
      <c r="M36" s="9"/>
      <c r="N36" s="10" t="s">
        <v>189</v>
      </c>
      <c r="O36" s="9"/>
    </row>
    <row r="37" customFormat="false" ht="64.9" hidden="false" customHeight="false" outlineLevel="0" collapsed="false">
      <c r="A37" s="6" t="n">
        <v>34</v>
      </c>
      <c r="B37" s="6" t="s">
        <v>190</v>
      </c>
      <c r="C37" s="6" t="s">
        <v>191</v>
      </c>
      <c r="D37" s="7" t="s">
        <v>192</v>
      </c>
      <c r="E37" s="6" t="s">
        <v>193</v>
      </c>
      <c r="F37" s="6" t="s">
        <v>33</v>
      </c>
      <c r="G37" s="6" t="s">
        <v>194</v>
      </c>
      <c r="H37" s="8"/>
      <c r="I37" s="9"/>
      <c r="J37" s="9"/>
      <c r="K37" s="10" t="str">
        <f aca="false">IF(H37="","",IF(D37="","CHỈ CÓ MÃ CỔNG",IF(TRIM(H37)=TRIM(D37),"KHỚP","LỆCH")))</f>
        <v/>
      </c>
      <c r="L37" s="9"/>
      <c r="M37" s="9"/>
      <c r="N37" s="10" t="s">
        <v>195</v>
      </c>
      <c r="O37" s="9"/>
    </row>
    <row r="38" customFormat="false" ht="26.85" hidden="false" customHeight="false" outlineLevel="0" collapsed="false">
      <c r="A38" s="6" t="n">
        <v>35</v>
      </c>
      <c r="B38" s="6" t="s">
        <v>196</v>
      </c>
      <c r="C38" s="6" t="s">
        <v>197</v>
      </c>
      <c r="D38" s="7" t="s">
        <v>198</v>
      </c>
      <c r="E38" s="6" t="s">
        <v>199</v>
      </c>
      <c r="F38" s="6"/>
      <c r="G38" s="6" t="s">
        <v>200</v>
      </c>
      <c r="H38" s="8"/>
      <c r="I38" s="9"/>
      <c r="J38" s="9"/>
      <c r="K38" s="10" t="str">
        <f aca="false">IF(H38="","",IF(D38="","CHỈ CÓ MÃ CỔNG",IF(TRIM(H38)=TRIM(D38),"KHỚP","LỆCH")))</f>
        <v/>
      </c>
      <c r="L38" s="9"/>
      <c r="M38" s="9"/>
      <c r="N38" s="10" t="s">
        <v>201</v>
      </c>
      <c r="O38" s="9"/>
    </row>
    <row r="39" customFormat="false" ht="64.9" hidden="false" customHeight="false" outlineLevel="0" collapsed="false">
      <c r="A39" s="6" t="n">
        <v>36</v>
      </c>
      <c r="B39" s="6" t="s">
        <v>202</v>
      </c>
      <c r="C39" s="6" t="s">
        <v>203</v>
      </c>
      <c r="D39" s="7" t="s">
        <v>204</v>
      </c>
      <c r="E39" s="6" t="s">
        <v>205</v>
      </c>
      <c r="F39" s="6"/>
      <c r="G39" s="6" t="s">
        <v>206</v>
      </c>
      <c r="H39" s="8"/>
      <c r="I39" s="9"/>
      <c r="J39" s="9"/>
      <c r="K39" s="10" t="str">
        <f aca="false">IF(H39="","",IF(D39="","CHỈ CÓ MÃ CỔNG",IF(TRIM(H39)=TRIM(D39),"KHỚP","LỆCH")))</f>
        <v/>
      </c>
      <c r="L39" s="9"/>
      <c r="M39" s="9"/>
      <c r="N39" s="10" t="s">
        <v>207</v>
      </c>
      <c r="O39" s="9"/>
    </row>
    <row r="40" customFormat="false" ht="39.55" hidden="false" customHeight="false" outlineLevel="0" collapsed="false">
      <c r="A40" s="6" t="n">
        <v>37</v>
      </c>
      <c r="B40" s="6" t="s">
        <v>208</v>
      </c>
      <c r="C40" s="6" t="s">
        <v>209</v>
      </c>
      <c r="D40" s="7" t="s">
        <v>210</v>
      </c>
      <c r="E40" s="6" t="s">
        <v>211</v>
      </c>
      <c r="F40" s="6"/>
      <c r="G40" s="6" t="s">
        <v>212</v>
      </c>
      <c r="H40" s="8"/>
      <c r="I40" s="9"/>
      <c r="J40" s="9"/>
      <c r="K40" s="10" t="str">
        <f aca="false">IF(H40="","",IF(D40="","CHỈ CÓ MÃ CỔNG",IF(TRIM(H40)=TRIM(D40),"KHỚP","LỆCH")))</f>
        <v/>
      </c>
      <c r="L40" s="9"/>
      <c r="M40" s="9"/>
      <c r="N40" s="10" t="s">
        <v>213</v>
      </c>
      <c r="O40" s="9"/>
    </row>
    <row r="41" customFormat="false" ht="52.2" hidden="false" customHeight="false" outlineLevel="0" collapsed="false">
      <c r="A41" s="6" t="n">
        <v>38</v>
      </c>
      <c r="B41" s="6" t="s">
        <v>214</v>
      </c>
      <c r="C41" s="6" t="s">
        <v>215</v>
      </c>
      <c r="D41" s="7" t="s">
        <v>216</v>
      </c>
      <c r="E41" s="6" t="s">
        <v>217</v>
      </c>
      <c r="F41" s="6"/>
      <c r="G41" s="6" t="s">
        <v>218</v>
      </c>
      <c r="H41" s="8"/>
      <c r="I41" s="9"/>
      <c r="J41" s="9"/>
      <c r="K41" s="10" t="str">
        <f aca="false">IF(H41="","",IF(D41="","CHỈ CÓ MÃ CỔNG",IF(TRIM(H41)=TRIM(D41),"KHỚP","LỆCH")))</f>
        <v/>
      </c>
      <c r="L41" s="9"/>
      <c r="M41" s="9"/>
      <c r="N41" s="10" t="s">
        <v>219</v>
      </c>
      <c r="O41" s="9"/>
    </row>
    <row r="42" customFormat="false" ht="90.25" hidden="false" customHeight="false" outlineLevel="0" collapsed="false">
      <c r="A42" s="6" t="n">
        <v>39</v>
      </c>
      <c r="B42" s="6" t="s">
        <v>220</v>
      </c>
      <c r="C42" s="6" t="s">
        <v>220</v>
      </c>
      <c r="D42" s="7"/>
      <c r="E42" s="6" t="s">
        <v>221</v>
      </c>
      <c r="F42" s="6" t="s">
        <v>42</v>
      </c>
      <c r="G42" s="6" t="s">
        <v>222</v>
      </c>
      <c r="H42" s="8"/>
      <c r="I42" s="9"/>
      <c r="J42" s="9"/>
      <c r="K42" s="10" t="str">
        <f aca="false">IF(H42="","",IF(D42="","CHỈ CÓ MÃ CỔNG",IF(TRIM(H42)=TRIM(D42),"KHỚP","LỆCH")))</f>
        <v/>
      </c>
      <c r="L42" s="9"/>
      <c r="M42" s="9"/>
      <c r="N42" s="10" t="s">
        <v>223</v>
      </c>
      <c r="O42" s="9"/>
    </row>
    <row r="43" customFormat="false" ht="52.2" hidden="false" customHeight="false" outlineLevel="0" collapsed="false">
      <c r="A43" s="6" t="n">
        <v>40</v>
      </c>
      <c r="B43" s="6" t="s">
        <v>224</v>
      </c>
      <c r="C43" s="6" t="s">
        <v>224</v>
      </c>
      <c r="D43" s="7"/>
      <c r="E43" s="6" t="s">
        <v>225</v>
      </c>
      <c r="F43" s="6" t="s">
        <v>226</v>
      </c>
      <c r="G43" s="6" t="s">
        <v>227</v>
      </c>
      <c r="H43" s="8"/>
      <c r="I43" s="9"/>
      <c r="J43" s="9"/>
      <c r="K43" s="10" t="str">
        <f aca="false">IF(H43="","",IF(D43="","CHỈ CÓ MÃ CỔNG",IF(TRIM(H43)=TRIM(D43),"KHỚP","LỆCH")))</f>
        <v/>
      </c>
      <c r="L43" s="9"/>
      <c r="M43" s="9"/>
      <c r="N43" s="10" t="s">
        <v>228</v>
      </c>
      <c r="O43" s="9"/>
    </row>
    <row r="44" customFormat="false" ht="64.9" hidden="false" customHeight="false" outlineLevel="0" collapsed="false">
      <c r="A44" s="6" t="n">
        <v>41</v>
      </c>
      <c r="B44" s="6" t="s">
        <v>229</v>
      </c>
      <c r="C44" s="6"/>
      <c r="D44" s="7"/>
      <c r="E44" s="6"/>
      <c r="F44" s="6"/>
      <c r="G44" s="6" t="s">
        <v>230</v>
      </c>
      <c r="H44" s="8"/>
      <c r="I44" s="9"/>
      <c r="J44" s="9"/>
      <c r="K44" s="10" t="str">
        <f aca="false">IF(H44="","",IF(D44="","CHỈ CÓ MÃ CỔNG",IF(TRIM(H44)=TRIM(D44),"KHỚP","LỆCH")))</f>
        <v/>
      </c>
      <c r="L44" s="9"/>
      <c r="M44" s="9"/>
      <c r="N44" s="10" t="s">
        <v>231</v>
      </c>
      <c r="O44" s="9"/>
    </row>
    <row r="45" customFormat="false" ht="64.9" hidden="false" customHeight="false" outlineLevel="0" collapsed="false">
      <c r="A45" s="6" t="n">
        <v>42</v>
      </c>
      <c r="B45" s="6" t="s">
        <v>232</v>
      </c>
      <c r="C45" s="6"/>
      <c r="D45" s="7"/>
      <c r="E45" s="6"/>
      <c r="F45" s="6" t="s">
        <v>33</v>
      </c>
      <c r="G45" s="6" t="s">
        <v>233</v>
      </c>
      <c r="H45" s="8"/>
      <c r="I45" s="9"/>
      <c r="J45" s="9"/>
      <c r="K45" s="10" t="str">
        <f aca="false">IF(H45="","",IF(D45="","CHỈ CÓ MÃ CỔNG",IF(TRIM(H45)=TRIM(D45),"KHỚP","LỆCH")))</f>
        <v/>
      </c>
      <c r="L45" s="9"/>
      <c r="M45" s="9"/>
      <c r="N45" s="10" t="s">
        <v>234</v>
      </c>
      <c r="O45" s="9"/>
    </row>
    <row r="46" customFormat="false" ht="39.55" hidden="false" customHeight="false" outlineLevel="0" collapsed="false">
      <c r="A46" s="6" t="n">
        <v>43</v>
      </c>
      <c r="B46" s="6" t="s">
        <v>235</v>
      </c>
      <c r="C46" s="6" t="s">
        <v>235</v>
      </c>
      <c r="D46" s="7"/>
      <c r="E46" s="6" t="s">
        <v>236</v>
      </c>
      <c r="F46" s="6" t="s">
        <v>42</v>
      </c>
      <c r="G46" s="6" t="s">
        <v>237</v>
      </c>
      <c r="H46" s="8"/>
      <c r="I46" s="9"/>
      <c r="J46" s="9"/>
      <c r="K46" s="10" t="str">
        <f aca="false">IF(H46="","",IF(D46="","CHỈ CÓ MÃ CỔNG",IF(TRIM(H46)=TRIM(D46),"KHỚP","LỆCH")))</f>
        <v/>
      </c>
      <c r="L46" s="9"/>
      <c r="M46" s="9"/>
      <c r="N46" s="10" t="s">
        <v>238</v>
      </c>
      <c r="O46" s="9"/>
    </row>
    <row r="47" customFormat="false" ht="128.35" hidden="false" customHeight="false" outlineLevel="0" collapsed="false">
      <c r="A47" s="6" t="n">
        <v>44</v>
      </c>
      <c r="B47" s="6" t="s">
        <v>239</v>
      </c>
      <c r="C47" s="6"/>
      <c r="D47" s="7"/>
      <c r="E47" s="6"/>
      <c r="F47" s="6" t="s">
        <v>42</v>
      </c>
      <c r="G47" s="6" t="s">
        <v>240</v>
      </c>
      <c r="H47" s="8"/>
      <c r="I47" s="9"/>
      <c r="J47" s="9"/>
      <c r="K47" s="10" t="str">
        <f aca="false">IF(H47="","",IF(D47="","CHỈ CÓ MÃ CỔNG",IF(TRIM(H47)=TRIM(D47),"KHỚP","LỆCH")))</f>
        <v/>
      </c>
      <c r="L47" s="9"/>
      <c r="M47" s="9"/>
      <c r="N47" s="10" t="s">
        <v>241</v>
      </c>
      <c r="O47" s="9"/>
    </row>
    <row r="48" customFormat="false" ht="77.6" hidden="false" customHeight="false" outlineLevel="0" collapsed="false">
      <c r="A48" s="6" t="n">
        <v>45</v>
      </c>
      <c r="B48" s="6" t="s">
        <v>242</v>
      </c>
      <c r="C48" s="6" t="s">
        <v>243</v>
      </c>
      <c r="D48" s="7"/>
      <c r="E48" s="6" t="s">
        <v>244</v>
      </c>
      <c r="F48" s="6" t="s">
        <v>42</v>
      </c>
      <c r="G48" s="6" t="s">
        <v>245</v>
      </c>
      <c r="H48" s="8"/>
      <c r="I48" s="9"/>
      <c r="J48" s="9"/>
      <c r="K48" s="10" t="str">
        <f aca="false">IF(H48="","",IF(D48="","CHỈ CÓ MÃ CỔNG",IF(TRIM(H48)=TRIM(D48),"KHỚP","LỆCH")))</f>
        <v/>
      </c>
      <c r="L48" s="9"/>
      <c r="M48" s="9"/>
      <c r="N48" s="10" t="s">
        <v>246</v>
      </c>
      <c r="O48" s="9"/>
    </row>
    <row r="49" customFormat="false" ht="39.55" hidden="false" customHeight="false" outlineLevel="0" collapsed="false">
      <c r="A49" s="6" t="n">
        <v>46</v>
      </c>
      <c r="B49" s="6" t="s">
        <v>247</v>
      </c>
      <c r="C49" s="6" t="s">
        <v>247</v>
      </c>
      <c r="D49" s="7"/>
      <c r="E49" s="6" t="s">
        <v>248</v>
      </c>
      <c r="F49" s="6" t="s">
        <v>42</v>
      </c>
      <c r="G49" s="6" t="s">
        <v>249</v>
      </c>
      <c r="H49" s="8"/>
      <c r="I49" s="9"/>
      <c r="J49" s="9"/>
      <c r="K49" s="10" t="str">
        <f aca="false">IF(H49="","",IF(D49="","CHỈ CÓ MÃ CỔNG",IF(TRIM(H49)=TRIM(D49),"KHỚP","LỆCH")))</f>
        <v/>
      </c>
      <c r="L49" s="9"/>
      <c r="M49" s="9"/>
      <c r="N49" s="10" t="s">
        <v>250</v>
      </c>
      <c r="O49" s="9"/>
    </row>
    <row r="50" customFormat="false" ht="39.55" hidden="false" customHeight="false" outlineLevel="0" collapsed="false">
      <c r="A50" s="6" t="n">
        <v>47</v>
      </c>
      <c r="B50" s="6" t="s">
        <v>251</v>
      </c>
      <c r="C50" s="6" t="s">
        <v>252</v>
      </c>
      <c r="D50" s="7"/>
      <c r="E50" s="6" t="s">
        <v>253</v>
      </c>
      <c r="F50" s="6" t="s">
        <v>42</v>
      </c>
      <c r="G50" s="6" t="s">
        <v>254</v>
      </c>
      <c r="H50" s="8"/>
      <c r="I50" s="9"/>
      <c r="J50" s="9"/>
      <c r="K50" s="10" t="str">
        <f aca="false">IF(H50="","",IF(D50="","CHỈ CÓ MÃ CỔNG",IF(TRIM(H50)=TRIM(D50),"KHỚP","LỆCH")))</f>
        <v/>
      </c>
      <c r="L50" s="9"/>
      <c r="M50" s="9"/>
      <c r="N50" s="10" t="s">
        <v>255</v>
      </c>
      <c r="O50" s="9"/>
    </row>
    <row r="51" customFormat="false" ht="52.2" hidden="false" customHeight="false" outlineLevel="0" collapsed="false">
      <c r="A51" s="6" t="n">
        <v>48</v>
      </c>
      <c r="B51" s="6" t="s">
        <v>256</v>
      </c>
      <c r="C51" s="6" t="s">
        <v>256</v>
      </c>
      <c r="D51" s="7"/>
      <c r="E51" s="6" t="s">
        <v>248</v>
      </c>
      <c r="F51" s="6" t="s">
        <v>42</v>
      </c>
      <c r="G51" s="6" t="s">
        <v>257</v>
      </c>
      <c r="H51" s="8"/>
      <c r="I51" s="9"/>
      <c r="J51" s="9"/>
      <c r="K51" s="10" t="str">
        <f aca="false">IF(H51="","",IF(D51="","CHỈ CÓ MÃ CỔNG",IF(TRIM(H51)=TRIM(D51),"KHỚP","LỆCH")))</f>
        <v/>
      </c>
      <c r="L51" s="9"/>
      <c r="M51" s="9"/>
      <c r="N51" s="10" t="s">
        <v>258</v>
      </c>
      <c r="O51" s="9"/>
    </row>
    <row r="52" customFormat="false" ht="90.25" hidden="false" customHeight="false" outlineLevel="0" collapsed="false">
      <c r="A52" s="6" t="n">
        <v>49</v>
      </c>
      <c r="B52" s="6" t="s">
        <v>259</v>
      </c>
      <c r="C52" s="6"/>
      <c r="D52" s="7"/>
      <c r="E52" s="6"/>
      <c r="F52" s="6" t="s">
        <v>42</v>
      </c>
      <c r="G52" s="6" t="s">
        <v>260</v>
      </c>
      <c r="H52" s="8"/>
      <c r="I52" s="9"/>
      <c r="J52" s="9"/>
      <c r="K52" s="10" t="str">
        <f aca="false">IF(H52="","",IF(D52="","CHỈ CÓ MÃ CỔNG",IF(TRIM(H52)=TRIM(D52),"KHỚP","LỆCH")))</f>
        <v/>
      </c>
      <c r="L52" s="9"/>
      <c r="M52" s="9"/>
      <c r="N52" s="10" t="s">
        <v>261</v>
      </c>
      <c r="O52" s="9"/>
    </row>
    <row r="53" customFormat="false" ht="128.35" hidden="false" customHeight="false" outlineLevel="0" collapsed="false">
      <c r="A53" s="6" t="n">
        <v>50</v>
      </c>
      <c r="B53" s="6" t="s">
        <v>262</v>
      </c>
      <c r="C53" s="6"/>
      <c r="D53" s="7"/>
      <c r="E53" s="6"/>
      <c r="F53" s="6" t="s">
        <v>42</v>
      </c>
      <c r="G53" s="6" t="s">
        <v>263</v>
      </c>
      <c r="H53" s="8"/>
      <c r="I53" s="9"/>
      <c r="J53" s="9"/>
      <c r="K53" s="10" t="str">
        <f aca="false">IF(H53="","",IF(D53="","CHỈ CÓ MÃ CỔNG",IF(TRIM(H53)=TRIM(D53),"KHỚP","LỆCH")))</f>
        <v/>
      </c>
      <c r="L53" s="9"/>
      <c r="M53" s="9"/>
      <c r="N53" s="10" t="s">
        <v>264</v>
      </c>
      <c r="O53" s="9"/>
    </row>
    <row r="54" customFormat="false" ht="64.9" hidden="false" customHeight="false" outlineLevel="0" collapsed="false">
      <c r="A54" s="6" t="n">
        <v>51</v>
      </c>
      <c r="B54" s="6" t="s">
        <v>265</v>
      </c>
      <c r="C54" s="6" t="s">
        <v>266</v>
      </c>
      <c r="D54" s="7"/>
      <c r="E54" s="6" t="s">
        <v>267</v>
      </c>
      <c r="F54" s="6" t="s">
        <v>42</v>
      </c>
      <c r="G54" s="6" t="s">
        <v>268</v>
      </c>
      <c r="H54" s="8"/>
      <c r="I54" s="9"/>
      <c r="J54" s="9"/>
      <c r="K54" s="10" t="str">
        <f aca="false">IF(H54="","",IF(D54="","CHỈ CÓ MÃ CỔNG",IF(TRIM(H54)=TRIM(D54),"KHỚP","LỆCH")))</f>
        <v/>
      </c>
      <c r="L54" s="9"/>
      <c r="M54" s="9"/>
      <c r="N54" s="10" t="s">
        <v>269</v>
      </c>
      <c r="O54" s="9"/>
    </row>
    <row r="55" customFormat="false" ht="39.55" hidden="false" customHeight="false" outlineLevel="0" collapsed="false">
      <c r="A55" s="6" t="n">
        <v>52</v>
      </c>
      <c r="B55" s="6" t="s">
        <v>270</v>
      </c>
      <c r="C55" s="6" t="s">
        <v>271</v>
      </c>
      <c r="D55" s="7"/>
      <c r="E55" s="6" t="s">
        <v>272</v>
      </c>
      <c r="F55" s="6" t="s">
        <v>42</v>
      </c>
      <c r="G55" s="6" t="s">
        <v>273</v>
      </c>
      <c r="H55" s="8"/>
      <c r="I55" s="9"/>
      <c r="J55" s="9"/>
      <c r="K55" s="10" t="str">
        <f aca="false">IF(H55="","",IF(D55="","CHỈ CÓ MÃ CỔNG",IF(TRIM(H55)=TRIM(D55),"KHỚP","LỆCH")))</f>
        <v/>
      </c>
      <c r="L55" s="9"/>
      <c r="M55" s="9"/>
      <c r="N55" s="10" t="s">
        <v>274</v>
      </c>
      <c r="O55" s="9"/>
    </row>
    <row r="56" customFormat="false" ht="26.85" hidden="false" customHeight="false" outlineLevel="0" collapsed="false">
      <c r="A56" s="6" t="n">
        <v>53</v>
      </c>
      <c r="B56" s="6" t="s">
        <v>275</v>
      </c>
      <c r="C56" s="6" t="s">
        <v>276</v>
      </c>
      <c r="D56" s="7"/>
      <c r="E56" s="6" t="s">
        <v>277</v>
      </c>
      <c r="F56" s="6"/>
      <c r="G56" s="6" t="s">
        <v>278</v>
      </c>
      <c r="H56" s="8"/>
      <c r="I56" s="9"/>
      <c r="J56" s="9"/>
      <c r="K56" s="10" t="str">
        <f aca="false">IF(H56="","",IF(D56="","CHỈ CÓ MÃ CỔNG",IF(TRIM(H56)=TRIM(D56),"KHỚP","LỆCH")))</f>
        <v/>
      </c>
      <c r="L56" s="9"/>
      <c r="M56" s="9"/>
      <c r="N56" s="10" t="s">
        <v>279</v>
      </c>
      <c r="O56" s="9"/>
    </row>
    <row r="57" customFormat="false" ht="64.9" hidden="false" customHeight="false" outlineLevel="0" collapsed="false">
      <c r="A57" s="6" t="n">
        <v>54</v>
      </c>
      <c r="B57" s="6" t="s">
        <v>280</v>
      </c>
      <c r="C57" s="6" t="s">
        <v>281</v>
      </c>
      <c r="D57" s="7"/>
      <c r="E57" s="6" t="s">
        <v>282</v>
      </c>
      <c r="F57" s="6"/>
      <c r="G57" s="6" t="s">
        <v>283</v>
      </c>
      <c r="H57" s="8"/>
      <c r="I57" s="9"/>
      <c r="J57" s="9"/>
      <c r="K57" s="10" t="str">
        <f aca="false">IF(H57="","",IF(D57="","CHỈ CÓ MÃ CỔNG",IF(TRIM(H57)=TRIM(D57),"KHỚP","LỆCH")))</f>
        <v/>
      </c>
      <c r="L57" s="9"/>
      <c r="M57" s="9"/>
      <c r="N57" s="10" t="s">
        <v>284</v>
      </c>
      <c r="O57" s="9"/>
    </row>
    <row r="58" customFormat="false" ht="39.55" hidden="false" customHeight="false" outlineLevel="0" collapsed="false">
      <c r="A58" s="6" t="n">
        <v>55</v>
      </c>
      <c r="B58" s="6" t="s">
        <v>285</v>
      </c>
      <c r="C58" s="6" t="s">
        <v>286</v>
      </c>
      <c r="D58" s="7"/>
      <c r="E58" s="6" t="s">
        <v>287</v>
      </c>
      <c r="F58" s="6" t="s">
        <v>33</v>
      </c>
      <c r="G58" s="6" t="s">
        <v>288</v>
      </c>
      <c r="H58" s="8"/>
      <c r="I58" s="9"/>
      <c r="J58" s="9"/>
      <c r="K58" s="10" t="str">
        <f aca="false">IF(H58="","",IF(D58="","CHỈ CÓ MÃ CỔNG",IF(TRIM(H58)=TRIM(D58),"KHỚP","LỆCH")))</f>
        <v/>
      </c>
      <c r="L58" s="9"/>
      <c r="M58" s="9"/>
      <c r="N58" s="10" t="s">
        <v>289</v>
      </c>
      <c r="O58" s="9"/>
    </row>
    <row r="59" customFormat="false" ht="26.85" hidden="false" customHeight="false" outlineLevel="0" collapsed="false">
      <c r="A59" s="6" t="n">
        <v>56</v>
      </c>
      <c r="B59" s="6" t="s">
        <v>290</v>
      </c>
      <c r="C59" s="6" t="s">
        <v>291</v>
      </c>
      <c r="D59" s="7" t="s">
        <v>292</v>
      </c>
      <c r="E59" s="6" t="s">
        <v>293</v>
      </c>
      <c r="F59" s="6"/>
      <c r="G59" s="6" t="s">
        <v>294</v>
      </c>
      <c r="H59" s="8"/>
      <c r="I59" s="9"/>
      <c r="J59" s="9"/>
      <c r="K59" s="10" t="str">
        <f aca="false">IF(H59="","",IF(D59="","CHỈ CÓ MÃ CỔNG",IF(TRIM(H59)=TRIM(D59),"KHỚP","LỆCH")))</f>
        <v/>
      </c>
      <c r="L59" s="9"/>
      <c r="M59" s="9"/>
      <c r="N59" s="10" t="s">
        <v>295</v>
      </c>
      <c r="O59" s="9"/>
    </row>
    <row r="60" customFormat="false" ht="52.2" hidden="false" customHeight="false" outlineLevel="0" collapsed="false">
      <c r="A60" s="6" t="n">
        <v>57</v>
      </c>
      <c r="B60" s="6" t="s">
        <v>296</v>
      </c>
      <c r="C60" s="6" t="s">
        <v>297</v>
      </c>
      <c r="D60" s="7"/>
      <c r="E60" s="6" t="s">
        <v>298</v>
      </c>
      <c r="F60" s="6"/>
      <c r="G60" s="6" t="s">
        <v>299</v>
      </c>
      <c r="H60" s="8"/>
      <c r="I60" s="9"/>
      <c r="J60" s="9"/>
      <c r="K60" s="10" t="str">
        <f aca="false">IF(H60="","",IF(D60="","CHỈ CÓ MÃ CỔNG",IF(TRIM(H60)=TRIM(D60),"KHỚP","LỆCH")))</f>
        <v/>
      </c>
      <c r="L60" s="9"/>
      <c r="M60" s="9"/>
      <c r="N60" s="10" t="s">
        <v>300</v>
      </c>
      <c r="O60" s="9"/>
    </row>
    <row r="61" customFormat="false" ht="26.85" hidden="false" customHeight="false" outlineLevel="0" collapsed="false">
      <c r="A61" s="6" t="n">
        <v>58</v>
      </c>
      <c r="B61" s="6" t="s">
        <v>301</v>
      </c>
      <c r="C61" s="6" t="s">
        <v>302</v>
      </c>
      <c r="D61" s="7"/>
      <c r="E61" s="6" t="s">
        <v>303</v>
      </c>
      <c r="F61" s="6" t="s">
        <v>33</v>
      </c>
      <c r="G61" s="6" t="s">
        <v>304</v>
      </c>
      <c r="H61" s="8"/>
      <c r="I61" s="9"/>
      <c r="J61" s="9"/>
      <c r="K61" s="10" t="str">
        <f aca="false">IF(H61="","",IF(D61="","CHỈ CÓ MÃ CỔNG",IF(TRIM(H61)=TRIM(D61),"KHỚP","LỆCH")))</f>
        <v/>
      </c>
      <c r="L61" s="9"/>
      <c r="M61" s="9"/>
      <c r="N61" s="10" t="s">
        <v>305</v>
      </c>
      <c r="O61" s="9"/>
    </row>
    <row r="62" customFormat="false" ht="52.2" hidden="false" customHeight="false" outlineLevel="0" collapsed="false">
      <c r="A62" s="6" t="n">
        <v>59</v>
      </c>
      <c r="B62" s="6" t="s">
        <v>306</v>
      </c>
      <c r="C62" s="6"/>
      <c r="D62" s="7"/>
      <c r="E62" s="6"/>
      <c r="F62" s="6"/>
      <c r="G62" s="6" t="s">
        <v>307</v>
      </c>
      <c r="H62" s="8"/>
      <c r="I62" s="9"/>
      <c r="J62" s="9"/>
      <c r="K62" s="10" t="str">
        <f aca="false">IF(H62="","",IF(D62="","CHỈ CÓ MÃ CỔNG",IF(TRIM(H62)=TRIM(D62),"KHỚP","LỆCH")))</f>
        <v/>
      </c>
      <c r="L62" s="9"/>
      <c r="M62" s="9"/>
      <c r="N62" s="10" t="s">
        <v>308</v>
      </c>
      <c r="O62" s="9"/>
    </row>
    <row r="63" customFormat="false" ht="64.9" hidden="false" customHeight="false" outlineLevel="0" collapsed="false">
      <c r="A63" s="6" t="n">
        <v>60</v>
      </c>
      <c r="B63" s="6" t="s">
        <v>309</v>
      </c>
      <c r="C63" s="6"/>
      <c r="D63" s="7"/>
      <c r="E63" s="6"/>
      <c r="F63" s="6"/>
      <c r="G63" s="6" t="s">
        <v>310</v>
      </c>
      <c r="H63" s="8"/>
      <c r="I63" s="9"/>
      <c r="J63" s="9"/>
      <c r="K63" s="10" t="str">
        <f aca="false">IF(H63="","",IF(D63="","CHỈ CÓ MÃ CỔNG",IF(TRIM(H63)=TRIM(D63),"KHỚP","LỆCH")))</f>
        <v/>
      </c>
      <c r="L63" s="9"/>
      <c r="M63" s="9"/>
      <c r="N63" s="10" t="s">
        <v>311</v>
      </c>
      <c r="O63" s="9"/>
    </row>
  </sheetData>
  <dataValidations count="1">
    <dataValidation allowBlank="true" errorStyle="stop" operator="between" showDropDown="false" showErrorMessage="false" showInputMessage="false" sqref="J4:J63" type="list">
      <formula1>"Đang hoạt động,Tạm ngừng,Đã giải thể,Không tìm thấy,Không áp dụng"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2026-10-01T03:34:56Z</dcterms:created>
  <dc:creator>openpyxl</dc:creator>
  <dc:description/>
  <dc:language>en-US</dc:language>
  <cp:lastModifiedBy/>
  <dcterms:modified xsi:type="dcterms:W3CDTF">2026-10-01T03:34:56Z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